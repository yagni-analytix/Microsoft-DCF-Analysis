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drawings/charts/chart4.xml" ContentType="application/vnd.openxmlformats-officedocument.drawingml.chart+xml"/>
  <Override PartName="/xl/worksheets/sheet10.xml" ContentType="application/vnd.openxmlformats-officedocument.spreadsheetml.worksheet+xml"/>
  <Override PartName="/xl/drawings/drawing3.xml" ContentType="application/vnd.openxmlformats-officedocument.drawing+xml"/>
  <Override PartName="/xl/drawings/charts/chart5.xml" ContentType="application/vnd.openxmlformats-officedocument.drawingml.chart+xml"/>
  <Override PartName="/xl/worksheets/sheet11.xml" ContentType="application/vnd.openxmlformats-officedocument.spreadsheetml.worksheet+xml"/>
  <Override PartName="/xl/drawings/drawing4.xml" ContentType="application/vnd.openxmlformats-officedocument.drawing+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worksheets/sheet12.xml" ContentType="application/vnd.openxmlformats-officedocument.spreadsheetml.worksheet+xml"/>
  <Override PartName="/xl/drawings/drawing5.xml" ContentType="application/vnd.openxmlformats-officedocument.drawing+xml"/>
  <Override PartName="/xl/drawings/charts/chart10.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6c4609ab0c4d4327" /></Relationships>
</file>

<file path=xl/workbook.xml><?xml version="1.0" encoding="utf-8"?>
<x:workbook xmlns:x="http://schemas.openxmlformats.org/spreadsheetml/2006/main">
  <x:sheets>
    <x:sheet xmlns:r="http://schemas.openxmlformats.org/officeDocument/2006/relationships" name="00_Assumptions" sheetId="1" r:id="Rd421858411084e4a"/>
    <x:sheet xmlns:r="http://schemas.openxmlformats.org/officeDocument/2006/relationships" name="01_Model_Guide_Sources" sheetId="2" r:id="R2cd6c0dfa0ff402f"/>
    <x:sheet xmlns:r="http://schemas.openxmlformats.org/officeDocument/2006/relationships" name="02_Historical_Financials" sheetId="3" r:id="R4a87f550872e436f"/>
    <x:sheet xmlns:r="http://schemas.openxmlformats.org/officeDocument/2006/relationships" name="03_Business_Quality" sheetId="4" r:id="R2fc182a72bff492f"/>
    <x:sheet xmlns:r="http://schemas.openxmlformats.org/officeDocument/2006/relationships" name="04_Invested_Capital" sheetId="5" r:id="Rae289004da9c4008"/>
    <x:sheet xmlns:r="http://schemas.openxmlformats.org/officeDocument/2006/relationships" name="05_Segment_Drivers" sheetId="6" r:id="R08ef4dc50f2b4166"/>
    <x:sheet xmlns:r="http://schemas.openxmlformats.org/officeDocument/2006/relationships" name="06_Consolidated_Forecast" sheetId="7" r:id="R1a04ea4595ac4a2a"/>
    <x:sheet xmlns:r="http://schemas.openxmlformats.org/officeDocument/2006/relationships" name="07_DCF" sheetId="8" r:id="Rb83a9d4bd86b40c1"/>
    <x:sheet xmlns:r="http://schemas.openxmlformats.org/officeDocument/2006/relationships" name="08_Reverse_DCF" sheetId="9" r:id="R33295fc83cdd42f2"/>
    <x:sheet xmlns:r="http://schemas.openxmlformats.org/officeDocument/2006/relationships" name="09_Sensitivity_Analysis" sheetId="10" r:id="Rd7aa746597454d97"/>
    <x:sheet xmlns:r="http://schemas.openxmlformats.org/officeDocument/2006/relationships" name="10_Dashboard" sheetId="11" r:id="Rb1e0d82492dc4929"/>
    <x:sheet xmlns:r="http://schemas.openxmlformats.org/officeDocument/2006/relationships" name="11_Buffett_5_Tenets" sheetId="12" r:id="R7e52c26bae5d4c45"/>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0.00%;[Red](0.00%);-"/>
    <x:numFmt numFmtId="201" formatCode="m/d/yyyy"/>
    <x:numFmt numFmtId="202" formatCode="$#,##0.00;[Red]($#,##0.00);-"/>
    <x:numFmt numFmtId="203" formatCode="#,##0;[Red](#,##0);-"/>
    <x:numFmt numFmtId="204" formatCode="0;[Red](0);-"/>
    <x:numFmt numFmtId="205" formatCode="mmm-yy"/>
    <x:numFmt numFmtId="206" formatCode="0.00"/>
    <x:numFmt numFmtId="207" formatCode="0.00x"/>
    <x:numFmt numFmtId="208" formatCode="0.00 &quot;pp&quot;"/>
    <x:numFmt numFmtId="209" formatCode="0.0"/>
    <x:numFmt numFmtId="210" formatCode="0%"/>
  </x:numFmts>
  <x:fonts count="32">
    <x:font>
      <x:sz val="11"/>
      <x:name val="Carlito"/>
    </x:font>
    <x:font>
      <x:b/>
      <x:sz val="16"/>
      <x:color rgb="FFFFFFFF"/>
      <x:name val="Carlito"/>
    </x:font>
    <x:font>
      <x:sz val="10"/>
      <x:color rgb="FF000000"/>
      <x:name val="Aptos"/>
    </x:font>
    <x:font>
      <x:b/>
      <x:sz val="16"/>
      <x:color rgb="FFFFFFFF"/>
      <x:name val="Aptos"/>
    </x:font>
    <x:font>
      <x:i/>
      <x:sz val="10"/>
      <x:color rgb="FF666666"/>
      <x:name val="Aptos"/>
    </x:font>
    <x:font>
      <x:b/>
      <x:sz val="11"/>
      <x:color rgb="FFFFFFFF"/>
      <x:name val="Aptos"/>
    </x:font>
    <x:font>
      <x:b/>
      <x:sz val="10"/>
      <x:color rgb="FF000000"/>
      <x:name val="Aptos"/>
    </x:font>
    <x:font>
      <x:sz val="10"/>
      <x:color rgb="FF0000FF"/>
      <x:name val="Aptos"/>
    </x:font>
    <x:font>
      <x:sz val="10"/>
      <x:color rgb="FF008000"/>
      <x:name val="Aptos"/>
    </x:font>
    <x:font>
      <x:b/>
      <x:sz val="11"/>
      <x:color rgb="FFFFFFFF"/>
      <x:name val="Carlito"/>
    </x:font>
    <x:font>
      <x:b/>
      <x:sz val="10"/>
      <x:color rgb="FF000000"/>
      <x:name val="Carlito"/>
    </x:font>
    <x:font>
      <x:b/>
      <x:sz val="11"/>
      <x:color rgb="FF1F4E78"/>
      <x:name val="Carlito"/>
    </x:font>
    <x:font>
      <x:b/>
      <x:sz val="11"/>
      <x:name val="Carlito"/>
    </x:font>
    <x:font>
      <x:i/>
      <x:sz val="9"/>
      <x:color rgb="FF666666"/>
      <x:name val="Aptos"/>
    </x:font>
    <x:font>
      <x:b/>
      <x:sz val="10"/>
      <x:color rgb="FF0000FF"/>
      <x:name val="Aptos"/>
    </x:font>
    <x:font>
      <x:b/>
      <x:sz val="10"/>
      <x:color rgb="FF1F4E78"/>
      <x:name val="Aptos"/>
    </x:font>
    <x:font>
      <x:b/>
      <x:sz val="11"/>
      <x:color rgb="FF000000"/>
      <x:name val="Aptos"/>
    </x:font>
    <x:font>
      <x:b/>
      <x:sz val="10"/>
      <x:color rgb="FFFFFFFF"/>
      <x:name val="Aptos"/>
    </x:font>
    <x:font>
      <x:b/>
      <x:sz val="18"/>
      <x:color rgb="FF1F4E78"/>
      <x:name val="Aptos"/>
    </x:font>
    <x:font>
      <x:b/>
      <x:sz val="18"/>
      <x:color rgb="FFC00000"/>
      <x:name val="Aptos"/>
    </x:font>
    <x:font>
      <x:b/>
      <x:sz val="12"/>
      <x:color rgb="FF1F4E78"/>
      <x:name val="Aptos"/>
    </x:font>
    <x:font>
      <x:sz val="11"/>
      <x:color rgb="FF000000"/>
      <x:name val="Aptos"/>
    </x:font>
    <x:font>
      <x:i/>
      <x:sz val="10"/>
      <x:color rgb="FF404040"/>
      <x:name val="Carlito"/>
    </x:font>
    <x:font>
      <x:b/>
      <x:sz val="18"/>
      <x:color rgb="FF000000"/>
      <x:name val="Carlito"/>
    </x:font>
    <x:font>
      <x:sz val="11"/>
      <x:color rgb="FF0000FF"/>
      <x:name val="Carlito"/>
    </x:font>
    <x:font>
      <x:sz val="11"/>
      <x:color rgb="FF000000"/>
      <x:name val="Carlito"/>
    </x:font>
    <x:font>
      <x:sz val="11"/>
      <x:color rgb="FF008000"/>
      <x:name val="Carlito"/>
    </x:font>
    <x:font>
      <x:sz val="11"/>
      <x:color rgb="FF000000"/>
      <x:name val="Carlito"/>
    </x:font>
    <x:font>
      <x:b/>
      <x:sz val="16"/>
      <x:name val="Carlito"/>
    </x:font>
    <x:font>
      <x:b/>
      <x:sz val="11"/>
      <x:color rgb="FF008000"/>
      <x:name val="Carlito"/>
    </x:font>
    <x:font>
      <x:b/>
      <x:sz val="11"/>
      <x:color rgb="FF000000"/>
      <x:name val="Carlito"/>
    </x:font>
    <x:font>
      <x:sz val="11"/>
      <x:color rgb="FFFFFFFF"/>
      <x:name val="Carlito"/>
    </x:font>
  </x:fonts>
  <x:fills count="17">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D9E1F2"/>
      </x:patternFill>
    </x:fill>
    <x:fill>
      <x:patternFill patternType="solid">
        <x:fgColor rgb="FFFFF2CC"/>
      </x:patternFill>
    </x:fill>
    <x:fill>
      <x:patternFill patternType="solid">
        <x:fgColor rgb="FFF2F2F2"/>
      </x:patternFill>
    </x:fill>
    <x:fill>
      <x:patternFill patternType="solid">
        <x:fgColor rgb="FFD9EAF7"/>
      </x:patternFill>
    </x:fill>
    <x:fill>
      <x:patternFill patternType="solid">
        <x:fgColor rgb="FFFCE4D6"/>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F4F8FB"/>
      </x:patternFill>
    </x:fill>
    <x:fill>
      <x:patternFill patternType="solid">
        <x:fgColor rgb="FFFFF2CC"/>
      </x:patternFill>
    </x:fill>
    <x:fill>
      <x:patternFill patternType="solid">
        <x:fgColor rgb="FFE2F0D9"/>
      </x:patternFill>
    </x:fill>
    <x:fill>
      <x:patternFill patternType="solid">
        <x:fgColor rgb="FF4472C4"/>
      </x:patternFill>
    </x:fill>
    <x:fill>
      <x:patternFill patternType="solid">
        <x:fgColor rgb="FFF4CCCC"/>
      </x:patternFill>
    </x:fill>
  </x:fills>
  <x:borders count="33">
    <x:border/>
    <x:border/>
    <x:border>
      <x:bottom style="thin">
        <x:color rgb="FFA6A6A6"/>
      </x:bottom>
    </x:border>
    <x:border>
      <x:bottom style="thin">
        <x:color rgb="FFA6A6A6"/>
      </x:bottom>
    </x:border>
    <x:border>
      <x:top style="thin">
        <x:color rgb="FF000000"/>
      </x:top>
    </x:border>
    <x:border>
      <x:top style="thin">
        <x:color rgb="FF000000"/>
      </x:top>
    </x:border>
    <x:border>
      <x:left style="thick">
        <x:color rgb="FF1F4E78"/>
      </x:left>
      <x:bottom style="thin">
        <x:color rgb="FFA6A6A6"/>
      </x:bottom>
    </x:border>
    <x:border>
      <x:left style="thick">
        <x:color rgb="FF1F4E78"/>
      </x:left>
    </x:border>
    <x:border>
      <x:left style="thick">
        <x:color rgb="FF1F4E78"/>
      </x:left>
      <x:top style="thin">
        <x:color rgb="FF000000"/>
      </x:top>
    </x:border>
    <x:border>
      <x:left style="thick">
        <x:color rgb="FF1F4E78"/>
      </x:left>
      <x:bottom style="thin">
        <x:color rgb="FFA6A6A6"/>
      </x:bottom>
    </x:border>
    <x:border>
      <x:left style="thick">
        <x:color rgb="FF1F4E78"/>
      </x:left>
    </x:border>
    <x:border>
      <x:left style="thick">
        <x:color rgb="FF1F4E78"/>
      </x:left>
      <x:top style="thin">
        <x:color rgb="FF000000"/>
      </x:top>
    </x:border>
    <x:border>
      <x:left style="thick">
        <x:color rgb="FF1F4E78"/>
      </x:left>
      <x:right style="thick">
        <x:color rgb="FF1F4E78"/>
      </x:right>
      <x:top style="thick">
        <x:color rgb="FF1F4E78"/>
      </x:top>
      <x:bottom style="thick">
        <x:color rgb="FF1F4E78"/>
      </x:bottom>
    </x:border>
    <x:border>
      <x:left style="thick">
        <x:color rgb="FF1F4E78"/>
      </x:left>
      <x:right style="thick">
        <x:color rgb="FF1F4E78"/>
      </x:right>
      <x:top style="thick">
        <x:color rgb="FF1F4E78"/>
      </x:top>
      <x:bottom style="thick">
        <x:color rgb="FF1F4E78"/>
      </x:bottom>
    </x:border>
    <x:border>
      <x:bottom style="thin">
        <x:color rgb="FFFFFFFF"/>
      </x:bottom>
    </x:border>
    <x:border>
      <x:bottom style="thin">
        <x:color rgb="FFFFFFFF"/>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bottom style="hair">
        <x:color rgb="FFD9D9D9"/>
      </x:bottom>
    </x:border>
  </x:borders>
  <x:cellStyleXfs count="1">
    <x:xf numFmtId="0" fontId="0" fillId="0" borderId="0"/>
  </x:cellStyleXfs>
  <x:cellXfs count="5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left" vertical="center"/>
    </x:xf>
    <x:xf numFmtId="0" fontId="2" fillId="2" borderId="1"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horizontal="left" vertical="center"/>
    </x:xf>
    <x:xf numFmtId="0" fontId="2"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left" vertical="center"/>
    </x:xf>
    <x:xf numFmtId="0" fontId="2" fillId="3" borderId="1" xfId="0" applyNumberFormat="1" applyFont="1" applyFill="1" applyBorder="1" applyAlignment="1">
      <x:alignment vertical="center"/>
    </x:xf>
    <x:xf numFmtId="0" fontId="4" fillId="3" borderId="1" xfId="0" applyNumberFormat="1" applyFont="1" applyFill="1" applyBorder="1" applyAlignment="1">
      <x:alignment vertical="center"/>
    </x:xf>
    <x:xf numFmtId="0" fontId="4" fillId="3" borderId="1" xfId="0" applyNumberFormat="1" applyFont="1" applyFill="1" applyBorder="1" applyAlignment="1">
      <x:alignment horizontal="lef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horizontal="left" vertical="center"/>
    </x:xf>
    <x:xf numFmtId="0" fontId="5" fillId="2" borderId="1" xfId="0" applyNumberFormat="1" applyFont="1" applyFill="1" applyBorder="1" applyAlignment="1">
      <x:alignment vertical="center"/>
    </x:xf>
    <x:xf numFmtId="0" fontId="5" fillId="2" borderId="1" xfId="0" applyNumberFormat="1" applyFont="1" applyFill="1" applyBorder="1" applyAlignment="1">
      <x:alignment horizontal="left" vertical="center"/>
    </x:xf>
    <x:xf numFmtId="0" fontId="2"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6" fillId="4" borderId="2" xfId="0" applyNumberFormat="1" applyFont="1" applyFill="1" applyBorder="1" applyAlignment="1">
      <x:alignment vertical="center"/>
    </x:xf>
    <x:xf numFmtId="0" fontId="6" fillId="4" borderId="2" xfId="0" applyNumberFormat="1" applyFont="1" applyFill="1" applyBorder="1" applyAlignment="1">
      <x:alignment horizontal="center" vertical="center"/>
    </x:xf>
    <x:xf numFmtId="0" fontId="2" fillId="4" borderId="1" xfId="0" applyNumberFormat="1" applyFont="1" applyFill="1" applyBorder="1" applyAlignment="1">
      <x:alignment vertical="center"/>
    </x:xf>
    <x:xf numFmtId="0" fontId="6" fillId="4" borderId="1" xfId="0" applyNumberFormat="1" applyFont="1" applyFill="1" applyBorder="1" applyAlignment="1">
      <x:alignment vertical="center"/>
    </x:xf>
    <x:xf numFmtId="0" fontId="6" fillId="4" borderId="3" xfId="0" applyNumberFormat="1" applyFont="1" applyFill="1" applyBorder="1" applyAlignment="1">
      <x:alignment vertical="center"/>
    </x:xf>
    <x:xf numFmtId="0" fontId="6" fillId="4" borderId="3" xfId="0" applyNumberFormat="1" applyFont="1" applyFill="1" applyBorder="1" applyAlignment="1">
      <x:alignment horizontal="center" vertical="center"/>
    </x:xf>
    <x:xf numFmtId="200" fontId="2" fillId="0" borderId="0" xfId="0" applyNumberFormat="1" applyFont="1" applyFill="1" applyBorder="1" applyAlignment="1">
      <x:alignment vertical="center"/>
    </x:xf>
    <x:xf numFmtId="200" fontId="2" fillId="0" borderId="1" xfId="0" applyNumberFormat="1" applyFont="1" applyFill="1" applyBorder="1" applyAlignment="1">
      <x:alignment vertical="center"/>
    </x:xf>
    <x:xf numFmtId="201" fontId="2" fillId="0" borderId="0" xfId="0" applyNumberFormat="1" applyFont="1" applyFill="1" applyBorder="1" applyAlignment="1">
      <x:alignment vertical="center"/>
    </x:xf>
    <x:xf numFmtId="201" fontId="2" fillId="0" borderId="1" xfId="0" applyNumberFormat="1" applyFont="1" applyFill="1" applyBorder="1" applyAlignment="1">
      <x:alignment vertical="center"/>
    </x:xf>
    <x:xf numFmtId="202" fontId="2" fillId="0" borderId="0" xfId="0" applyNumberFormat="1" applyFont="1" applyFill="1" applyBorder="1" applyAlignment="1">
      <x:alignment vertical="center"/>
    </x:xf>
    <x:xf numFmtId="202" fontId="2" fillId="0" borderId="1" xfId="0" applyNumberFormat="1" applyFont="1" applyFill="1" applyBorder="1" applyAlignment="1">
      <x:alignment vertical="center"/>
    </x:xf>
    <x:xf numFmtId="203" fontId="2" fillId="0" borderId="0" xfId="0" applyNumberFormat="1" applyFont="1" applyFill="1" applyBorder="1" applyAlignment="1">
      <x:alignment vertical="center"/>
    </x:xf>
    <x:xf numFmtId="203" fontId="2" fillId="0" borderId="1" xfId="0" applyNumberFormat="1" applyFont="1" applyFill="1" applyBorder="1" applyAlignment="1">
      <x:alignment vertical="center"/>
    </x:xf>
    <x:xf numFmtId="200" fontId="7" fillId="0" borderId="0" xfId="0" applyNumberFormat="1" applyFont="1" applyFill="1" applyBorder="1" applyAlignment="1">
      <x:alignment vertical="center"/>
    </x:xf>
    <x:xf numFmtId="200" fontId="7" fillId="0" borderId="1" xfId="0" applyNumberFormat="1" applyFont="1" applyFill="1" applyBorder="1" applyAlignment="1">
      <x:alignment vertical="center"/>
    </x:xf>
    <x:xf numFmtId="201" fontId="7" fillId="0" borderId="0" xfId="0" applyNumberFormat="1" applyFont="1" applyFill="1" applyBorder="1" applyAlignment="1">
      <x:alignment vertical="center"/>
    </x:xf>
    <x:xf numFmtId="201" fontId="7" fillId="0" borderId="1" xfId="0" applyNumberFormat="1" applyFont="1" applyFill="1" applyBorder="1" applyAlignment="1">
      <x:alignment vertical="center"/>
    </x:xf>
    <x:xf numFmtId="202" fontId="7" fillId="0" borderId="0" xfId="0" applyNumberFormat="1" applyFont="1" applyFill="1" applyBorder="1" applyAlignment="1">
      <x:alignment vertical="center"/>
    </x:xf>
    <x:xf numFmtId="203" fontId="7" fillId="0" borderId="0" xfId="0" applyNumberFormat="1" applyFont="1" applyFill="1" applyBorder="1" applyAlignment="1">
      <x:alignment vertical="center"/>
    </x:xf>
    <x:xf numFmtId="202" fontId="7" fillId="0" borderId="1" xfId="0" applyNumberFormat="1" applyFont="1" applyFill="1" applyBorder="1" applyAlignment="1">
      <x:alignment vertical="center"/>
    </x:xf>
    <x:xf numFmtId="203" fontId="7" fillId="0" borderId="1" xfId="0" applyNumberFormat="1" applyFont="1" applyFill="1" applyBorder="1" applyAlignment="1">
      <x:alignment vertical="center"/>
    </x:xf>
    <x:xf numFmtId="200" fontId="7" fillId="5" borderId="0" xfId="0" applyNumberFormat="1" applyFont="1" applyFill="1" applyBorder="1" applyAlignment="1">
      <x:alignment vertical="center"/>
    </x:xf>
    <x:xf numFmtId="200" fontId="7" fillId="5" borderId="1" xfId="0" applyNumberFormat="1" applyFont="1" applyFill="1" applyBorder="1" applyAlignment="1">
      <x:alignment vertical="center"/>
    </x:xf>
    <x:xf numFmtId="202" fontId="7" fillId="5" borderId="0" xfId="0" applyNumberFormat="1" applyFont="1" applyFill="1" applyBorder="1" applyAlignment="1">
      <x:alignment vertical="center"/>
    </x:xf>
    <x:xf numFmtId="202" fontId="7" fillId="5" borderId="1" xfId="0" applyNumberFormat="1" applyFont="1" applyFill="1" applyBorder="1" applyAlignment="1">
      <x:alignment vertical="center"/>
    </x:xf>
    <x:xf numFmtId="203" fontId="7" fillId="5" borderId="0" xfId="0" applyNumberFormat="1" applyFont="1" applyFill="1" applyBorder="1" applyAlignment="1">
      <x:alignment vertical="center"/>
    </x:xf>
    <x:xf numFmtId="203" fontId="7" fillId="5" borderId="1" xfId="0" applyNumberFormat="1" applyFont="1" applyFill="1" applyBorder="1" applyAlignment="1">
      <x:alignment vertical="center"/>
    </x:xf>
    <x:xf numFmtId="201" fontId="7" fillId="5" borderId="0" xfId="0" applyNumberFormat="1" applyFont="1" applyFill="1" applyBorder="1" applyAlignment="1">
      <x:alignment vertical="center"/>
    </x:xf>
    <x:xf numFmtId="201" fontId="7" fillId="5" borderId="1" xfId="0" applyNumberFormat="1" applyFont="1" applyFill="1" applyBorder="1" applyAlignment="1">
      <x:alignment vertical="center"/>
    </x:xf>
    <x:xf numFmtId="203" fontId="8" fillId="0" borderId="0" xfId="0" applyNumberFormat="1" applyFont="1" applyFill="1" applyBorder="1" applyAlignment="1">
      <x:alignment vertical="center"/>
    </x:xf>
    <x:xf numFmtId="203" fontId="8" fillId="0" borderId="1" xfId="0" applyNumberFormat="1" applyFont="1" applyFill="1" applyBorder="1" applyAlignment="1">
      <x:alignment vertical="center"/>
    </x:xf>
    <x:xf numFmtId="0" fontId="9" fillId="2" borderId="0" xfId="0" applyNumberFormat="1" applyFont="1" applyFill="1" applyBorder="1"/>
    <x:xf numFmtId="0" fontId="9" fillId="2" borderId="0" xfId="0" applyNumberFormat="1" applyFont="1" applyFill="1" applyBorder="1" applyAlignment="1">
      <x:alignment horizontal="left"/>
    </x:xf>
    <x:xf numFmtId="0" fontId="9" fillId="2" borderId="0" xfId="0" applyNumberFormat="1" applyFont="1" applyFill="1" applyBorder="1" applyAlignment="1">
      <x:alignment horizontal="left" vertical="center"/>
    </x:xf>
    <x:xf numFmtId="0" fontId="9" fillId="2" borderId="1" xfId="0" applyNumberFormat="1" applyFont="1" applyFill="1" applyBorder="1"/>
    <x:xf numFmtId="0" fontId="9" fillId="2" borderId="1" xfId="0" applyNumberFormat="1" applyFont="1" applyFill="1" applyBorder="1" applyAlignment="1">
      <x:alignment horizontal="left"/>
    </x:xf>
    <x:xf numFmtId="0" fontId="9" fillId="2" borderId="1" xfId="0" applyNumberFormat="1" applyFont="1" applyFill="1" applyBorder="1" applyAlignment="1">
      <x:alignment horizontal="left" vertical="center"/>
    </x:xf>
    <x:xf numFmtId="0" fontId="0" fillId="4" borderId="0" xfId="0" applyNumberFormat="1" applyFont="1" applyFill="1" applyBorder="1"/>
    <x:xf numFmtId="0" fontId="10" fillId="4" borderId="0" xfId="0" applyNumberFormat="1" applyFont="1" applyFill="1" applyBorder="1"/>
    <x:xf numFmtId="0" fontId="10" fillId="4" borderId="2" xfId="0" applyNumberFormat="1" applyFont="1" applyFill="1" applyBorder="1"/>
    <x:xf numFmtId="0" fontId="10" fillId="4" borderId="2" xfId="0" applyNumberFormat="1" applyFont="1" applyFill="1" applyBorder="1" applyAlignment="1">
      <x:alignment horizontal="center"/>
    </x:xf>
    <x:xf numFmtId="0" fontId="10" fillId="4" borderId="2" xfId="0" applyNumberFormat="1" applyFont="1" applyFill="1" applyBorder="1" applyAlignment="1">
      <x:alignment horizontal="center" vertical="center"/>
    </x:xf>
    <x:xf numFmtId="0" fontId="0" fillId="4" borderId="1" xfId="0" applyNumberFormat="1" applyFont="1" applyFill="1" applyBorder="1"/>
    <x:xf numFmtId="0" fontId="10" fillId="4" borderId="1" xfId="0" applyNumberFormat="1" applyFont="1" applyFill="1" applyBorder="1"/>
    <x:xf numFmtId="0" fontId="10" fillId="4" borderId="3" xfId="0" applyNumberFormat="1" applyFont="1" applyFill="1" applyBorder="1"/>
    <x:xf numFmtId="0" fontId="10" fillId="4" borderId="3" xfId="0" applyNumberFormat="1" applyFont="1" applyFill="1" applyBorder="1" applyAlignment="1">
      <x:alignment horizontal="center"/>
    </x:xf>
    <x:xf numFmtId="0" fontId="10" fillId="4" borderId="3" xfId="0" applyNumberFormat="1" applyFont="1" applyFill="1" applyBorder="1" applyAlignment="1">
      <x:alignment horizontal="center" vertical="center"/>
    </x:xf>
    <x:xf numFmtId="0" fontId="11" fillId="0" borderId="0" xfId="0" applyNumberFormat="1" applyFont="1" applyFill="1" applyBorder="1"/>
    <x:xf numFmtId="0" fontId="11" fillId="0" borderId="1" xfId="0" applyNumberFormat="1" applyFont="1" applyFill="1" applyBorder="1"/>
    <x:xf numFmtId="0" fontId="12" fillId="0" borderId="0" xfId="0" applyNumberFormat="1" applyFont="1" applyFill="1" applyBorder="1"/>
    <x:xf numFmtId="0" fontId="12"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203" fontId="6" fillId="0" borderId="1" xfId="0" applyNumberFormat="1" applyFont="1" applyFill="1" applyBorder="1" applyAlignment="1">
      <x:alignment vertical="center"/>
    </x:xf>
    <x:xf numFmtId="0" fontId="6" fillId="0" borderId="4" xfId="0" applyNumberFormat="1" applyFont="1" applyFill="1" applyBorder="1" applyAlignment="1">
      <x:alignment vertical="center"/>
    </x:xf>
    <x:xf numFmtId="203" fontId="6" fillId="0" borderId="4" xfId="0" applyNumberFormat="1" applyFont="1" applyFill="1" applyBorder="1" applyAlignment="1">
      <x:alignment vertical="center"/>
    </x:xf>
    <x:xf numFmtId="0" fontId="6" fillId="0" borderId="5" xfId="0" applyNumberFormat="1" applyFont="1" applyFill="1" applyBorder="1" applyAlignment="1">
      <x:alignment vertical="center"/>
    </x:xf>
    <x:xf numFmtId="203" fontId="6" fillId="0" borderId="5" xfId="0" applyNumberFormat="1" applyFont="1" applyFill="1" applyBorder="1" applyAlignment="1">
      <x:alignment vertical="center"/>
    </x:xf>
    <x:xf numFmtId="0" fontId="2" fillId="6" borderId="0" xfId="0" applyNumberFormat="1" applyFont="1" applyFill="1" applyBorder="1" applyAlignment="1">
      <x:alignment vertical="center"/>
    </x:xf>
    <x:xf numFmtId="0" fontId="13" fillId="6" borderId="0" xfId="0" applyNumberFormat="1" applyFont="1" applyFill="1" applyBorder="1" applyAlignment="1">
      <x:alignment vertical="center"/>
    </x:xf>
    <x:xf numFmtId="0" fontId="13" fillId="6" borderId="0" xfId="0" applyNumberFormat="1" applyFont="1" applyFill="1" applyBorder="1" applyAlignment="1">
      <x:alignment vertical="center" wrapText="1"/>
    </x:xf>
    <x:xf numFmtId="0" fontId="13" fillId="6" borderId="0" xfId="0" applyNumberFormat="1" applyFont="1" applyFill="1" applyBorder="1" applyAlignment="1">
      <x:alignment horizontal="left" vertical="center" wrapText="1"/>
    </x:xf>
    <x:xf numFmtId="0" fontId="13" fillId="6" borderId="0" xfId="0" applyNumberFormat="1" applyFont="1" applyFill="1" applyBorder="1" applyAlignment="1">
      <x:alignment horizontal="left" vertical="top" wrapText="1"/>
    </x:xf>
    <x:xf numFmtId="0" fontId="2" fillId="6" borderId="1" xfId="0" applyNumberFormat="1" applyFont="1" applyFill="1" applyBorder="1" applyAlignment="1">
      <x:alignment vertical="center"/>
    </x:xf>
    <x:xf numFmtId="0" fontId="13" fillId="6" borderId="1" xfId="0" applyNumberFormat="1" applyFont="1" applyFill="1" applyBorder="1" applyAlignment="1">
      <x:alignment vertical="center"/>
    </x:xf>
    <x:xf numFmtId="0" fontId="13" fillId="6" borderId="1" xfId="0" applyNumberFormat="1" applyFont="1" applyFill="1" applyBorder="1" applyAlignment="1">
      <x:alignment vertical="center" wrapText="1"/>
    </x:xf>
    <x:xf numFmtId="0" fontId="13" fillId="6" borderId="1" xfId="0" applyNumberFormat="1" applyFont="1" applyFill="1" applyBorder="1" applyAlignment="1">
      <x:alignment horizontal="left" vertical="center" wrapText="1"/>
    </x:xf>
    <x:xf numFmtId="0" fontId="13" fillId="6" borderId="1" xfId="0" applyNumberFormat="1" applyFont="1" applyFill="1" applyBorder="1" applyAlignment="1">
      <x:alignment horizontal="left" vertical="top" wrapText="1"/>
    </x:xf>
    <x:xf numFmtId="203" fontId="14" fillId="0" borderId="4" xfId="0" applyNumberFormat="1" applyFont="1" applyFill="1" applyBorder="1" applyAlignment="1">
      <x:alignment vertical="center"/>
    </x:xf>
    <x:xf numFmtId="0" fontId="7" fillId="0" borderId="0" xfId="0" applyNumberFormat="1" applyFont="1" applyFill="1" applyBorder="1" applyAlignment="1">
      <x:alignment vertical="center"/>
    </x:xf>
    <x:xf numFmtId="0" fontId="14" fillId="4" borderId="2" xfId="0" applyNumberFormat="1" applyFont="1" applyFill="1" applyBorder="1" applyAlignment="1">
      <x:alignment horizontal="center" vertical="center"/>
    </x:xf>
    <x:xf numFmtId="203" fontId="14" fillId="0" borderId="5" xfId="0" applyNumberFormat="1" applyFont="1" applyFill="1" applyBorder="1" applyAlignment="1">
      <x:alignment vertical="center"/>
    </x:xf>
    <x:xf numFmtId="0" fontId="7" fillId="0" borderId="1" xfId="0" applyNumberFormat="1" applyFont="1" applyFill="1" applyBorder="1" applyAlignment="1">
      <x:alignment vertical="center"/>
    </x:xf>
    <x:xf numFmtId="0" fontId="14" fillId="4" borderId="3" xfId="0" applyNumberFormat="1" applyFont="1" applyFill="1" applyBorder="1" applyAlignment="1">
      <x:alignment horizontal="center" vertical="center"/>
    </x:xf>
    <x:xf numFmtId="0" fontId="6" fillId="4" borderId="6" xfId="0" applyNumberFormat="1" applyFont="1" applyFill="1" applyBorder="1" applyAlignment="1">
      <x:alignment horizontal="center" vertical="center"/>
    </x:xf>
    <x:xf numFmtId="203" fontId="7" fillId="0" borderId="7" xfId="0" applyNumberFormat="1" applyFont="1" applyFill="1" applyBorder="1" applyAlignment="1">
      <x:alignment vertical="center"/>
    </x:xf>
    <x:xf numFmtId="203" fontId="14" fillId="0" borderId="8" xfId="0" applyNumberFormat="1" applyFont="1" applyFill="1" applyBorder="1" applyAlignment="1">
      <x:alignment vertical="center"/>
    </x:xf>
    <x:xf numFmtId="0" fontId="7" fillId="0" borderId="7" xfId="0" applyNumberFormat="1" applyFont="1" applyFill="1" applyBorder="1" applyAlignment="1">
      <x:alignment vertical="center"/>
    </x:xf>
    <x:xf numFmtId="0" fontId="14" fillId="4" borderId="6" xfId="0" applyNumberFormat="1" applyFont="1" applyFill="1" applyBorder="1" applyAlignment="1">
      <x:alignment horizontal="center" vertical="center"/>
    </x:xf>
    <x:xf numFmtId="0" fontId="2" fillId="0" borderId="7" xfId="0" applyNumberFormat="1" applyFont="1" applyFill="1" applyBorder="1" applyAlignment="1">
      <x:alignment vertical="center"/>
    </x:xf>
    <x:xf numFmtId="200" fontId="2" fillId="0" borderId="7" xfId="0" applyNumberFormat="1" applyFont="1" applyFill="1" applyBorder="1" applyAlignment="1">
      <x:alignment vertical="center"/>
    </x:xf>
    <x:xf numFmtId="200" fontId="2" fillId="0" borderId="6" xfId="0" applyNumberFormat="1" applyFont="1" applyFill="1" applyBorder="1" applyAlignment="1">
      <x:alignment vertical="center"/>
    </x:xf>
    <x:xf numFmtId="0" fontId="6" fillId="4" borderId="9" xfId="0" applyNumberFormat="1" applyFont="1" applyFill="1" applyBorder="1" applyAlignment="1">
      <x:alignment horizontal="center" vertical="center"/>
    </x:xf>
    <x:xf numFmtId="203" fontId="7" fillId="0" borderId="10" xfId="0" applyNumberFormat="1" applyFont="1" applyFill="1" applyBorder="1" applyAlignment="1">
      <x:alignment vertical="center"/>
    </x:xf>
    <x:xf numFmtId="203" fontId="14" fillId="0" borderId="11" xfId="0" applyNumberFormat="1" applyFont="1" applyFill="1" applyBorder="1" applyAlignment="1">
      <x:alignment vertical="center"/>
    </x:xf>
    <x:xf numFmtId="0" fontId="7" fillId="0" borderId="10" xfId="0" applyNumberFormat="1" applyFont="1" applyFill="1" applyBorder="1" applyAlignment="1">
      <x:alignment vertical="center"/>
    </x:xf>
    <x:xf numFmtId="0" fontId="14" fillId="4" borderId="9" xfId="0" applyNumberFormat="1" applyFont="1" applyFill="1" applyBorder="1" applyAlignment="1">
      <x:alignment horizontal="center" vertical="center"/>
    </x:xf>
    <x:xf numFmtId="0" fontId="2" fillId="0" borderId="10" xfId="0" applyNumberFormat="1" applyFont="1" applyFill="1" applyBorder="1" applyAlignment="1">
      <x:alignment vertical="center"/>
    </x:xf>
    <x:xf numFmtId="200" fontId="2" fillId="0" borderId="10" xfId="0" applyNumberFormat="1" applyFont="1" applyFill="1" applyBorder="1" applyAlignment="1">
      <x:alignment vertical="center"/>
    </x:xf>
    <x:xf numFmtId="200" fontId="2" fillId="0" borderId="9" xfId="0" applyNumberFormat="1" applyFont="1" applyFill="1" applyBorder="1" applyAlignment="1">
      <x:alignment vertical="center"/>
    </x:xf>
    <x:xf numFmtId="204" fontId="2" fillId="0" borderId="0" xfId="0" applyNumberFormat="1" applyFont="1" applyFill="1" applyBorder="1" applyAlignment="1">
      <x:alignment vertical="center"/>
    </x:xf>
    <x:xf numFmtId="204" fontId="2" fillId="0" borderId="1" xfId="0" applyNumberFormat="1" applyFont="1" applyFill="1" applyBorder="1" applyAlignment="1">
      <x:alignment vertical="center"/>
    </x:xf>
    <x:xf numFmtId="200" fontId="8" fillId="0" borderId="0" xfId="0" applyNumberFormat="1" applyFont="1" applyFill="1" applyBorder="1" applyAlignment="1">
      <x:alignment vertical="center"/>
    </x:xf>
    <x:xf numFmtId="200" fontId="8" fillId="0" borderId="1" xfId="0" applyNumberFormat="1" applyFont="1" applyFill="1" applyBorder="1" applyAlignment="1">
      <x:alignment vertical="center"/>
    </x:xf>
    <x:xf numFmtId="0" fontId="15" fillId="0" borderId="0" xfId="0" applyNumberFormat="1" applyFont="1" applyFill="1" applyBorder="1" applyAlignment="1">
      <x:alignment vertical="center"/>
    </x:xf>
    <x:xf numFmtId="0" fontId="15" fillId="0" borderId="1"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6" fillId="6" borderId="2" xfId="0" applyNumberFormat="1" applyFont="1" applyFill="1" applyBorder="1" applyAlignment="1">
      <x:alignment horizontal="center" vertical="center"/>
    </x:xf>
    <x:xf numFmtId="0" fontId="6" fillId="6" borderId="3" xfId="0" applyNumberFormat="1" applyFont="1" applyFill="1" applyBorder="1" applyAlignment="1">
      <x:alignment horizontal="center" vertical="center"/>
    </x:xf>
    <x:xf numFmtId="0" fontId="6" fillId="7" borderId="2" xfId="0" applyNumberFormat="1" applyFont="1" applyFill="1" applyBorder="1" applyAlignment="1">
      <x:alignment horizontal="center" vertical="center"/>
    </x:xf>
    <x:xf numFmtId="0" fontId="6" fillId="7" borderId="3" xfId="0" applyNumberFormat="1" applyFont="1" applyFill="1" applyBorder="1" applyAlignment="1">
      <x:alignment horizontal="center" vertical="center"/>
    </x:xf>
    <x:xf numFmtId="0" fontId="6" fillId="7" borderId="6" xfId="0" applyNumberFormat="1" applyFont="1" applyFill="1" applyBorder="1" applyAlignment="1">
      <x:alignment horizontal="center" vertical="center"/>
    </x:xf>
    <x:xf numFmtId="0" fontId="5" fillId="2" borderId="7" xfId="0" applyNumberFormat="1" applyFont="1" applyFill="1" applyBorder="1" applyAlignment="1">
      <x:alignment horizontal="left" vertical="center"/>
    </x:xf>
    <x:xf numFmtId="0" fontId="2" fillId="0" borderId="6" xfId="0" applyNumberFormat="1" applyFont="1" applyFill="1" applyBorder="1" applyAlignment="1">
      <x:alignment vertical="center"/>
    </x:xf>
    <x:xf numFmtId="0" fontId="6" fillId="7" borderId="9" xfId="0" applyNumberFormat="1" applyFont="1" applyFill="1" applyBorder="1" applyAlignment="1">
      <x:alignment horizontal="center" vertical="center"/>
    </x:xf>
    <x:xf numFmtId="0" fontId="5" fillId="2" borderId="10" xfId="0" applyNumberFormat="1" applyFont="1" applyFill="1" applyBorder="1" applyAlignment="1">
      <x:alignment horizontal="left" vertical="center"/>
    </x:xf>
    <x:xf numFmtId="0" fontId="2" fillId="0" borderId="9" xfId="0" applyNumberFormat="1" applyFont="1" applyFill="1" applyBorder="1" applyAlignment="1">
      <x:alignment vertical="center"/>
    </x:xf>
    <x:xf numFmtId="203" fontId="2" fillId="0" borderId="7" xfId="0" applyNumberFormat="1" applyFont="1" applyFill="1" applyBorder="1" applyAlignment="1">
      <x:alignment vertical="center"/>
    </x:xf>
    <x:xf numFmtId="203" fontId="2" fillId="0" borderId="10" xfId="0" applyNumberFormat="1" applyFont="1" applyFill="1" applyBorder="1" applyAlignment="1">
      <x:alignment vertical="center"/>
    </x:xf>
    <x:xf numFmtId="200" fontId="8" fillId="0" borderId="7" xfId="0" applyNumberFormat="1" applyFont="1" applyFill="1" applyBorder="1" applyAlignment="1">
      <x:alignment vertical="center"/>
    </x:xf>
    <x:xf numFmtId="200" fontId="8" fillId="0" borderId="10" xfId="0" applyNumberFormat="1" applyFont="1" applyFill="1" applyBorder="1" applyAlignment="1">
      <x:alignment vertical="center"/>
    </x:xf>
    <x:xf numFmtId="203" fontId="2" fillId="0" borderId="6" xfId="0" applyNumberFormat="1" applyFont="1" applyFill="1" applyBorder="1" applyAlignment="1">
      <x:alignment vertical="center"/>
    </x:xf>
    <x:xf numFmtId="203" fontId="2" fillId="0" borderId="9" xfId="0" applyNumberFormat="1" applyFont="1" applyFill="1" applyBorder="1" applyAlignment="1">
      <x:alignment vertical="center"/>
    </x:xf>
    <x:xf numFmtId="203" fontId="8" fillId="0" borderId="7" xfId="0" applyNumberFormat="1" applyFont="1" applyFill="1" applyBorder="1" applyAlignment="1">
      <x:alignment vertical="center"/>
    </x:xf>
    <x:xf numFmtId="203" fontId="8" fillId="0" borderId="10" xfId="0" applyNumberFormat="1" applyFont="1" applyFill="1" applyBorder="1" applyAlignment="1">
      <x:alignment vertical="center"/>
    </x:xf>
    <x:xf numFmtId="203" fontId="6" fillId="0" borderId="7" xfId="0" applyNumberFormat="1" applyFont="1" applyFill="1" applyBorder="1" applyAlignment="1">
      <x:alignment vertical="center"/>
    </x:xf>
    <x:xf numFmtId="203" fontId="6" fillId="0" borderId="10" xfId="0" applyNumberFormat="1" applyFont="1" applyFill="1" applyBorder="1" applyAlignment="1">
      <x:alignment vertical="center"/>
    </x:xf>
    <x:xf numFmtId="203" fontId="6" fillId="0" borderId="8" xfId="0" applyNumberFormat="1" applyFont="1" applyFill="1" applyBorder="1" applyAlignment="1">
      <x:alignment vertical="center"/>
    </x:xf>
    <x:xf numFmtId="203" fontId="6" fillId="0" borderId="11" xfId="0" applyNumberFormat="1" applyFont="1" applyFill="1" applyBorder="1" applyAlignment="1">
      <x:alignment vertical="center"/>
    </x:xf>
    <x:xf numFmtId="200" fontId="0" fillId="0" borderId="0" xfId="0" applyNumberFormat="1" applyFont="1" applyFill="1" applyBorder="1"/>
    <x:xf numFmtId="200"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5" fontId="2" fillId="0" borderId="0" xfId="0" applyNumberFormat="1" applyFont="1" applyFill="1" applyBorder="1" applyAlignment="1">
      <x:alignment vertical="center"/>
    </x:xf>
    <x:xf numFmtId="205" fontId="2" fillId="0" borderId="1" xfId="0" applyNumberFormat="1" applyFont="1" applyFill="1" applyBorder="1" applyAlignment="1">
      <x:alignment vertical="center"/>
    </x:xf>
    <x:xf numFmtId="206" fontId="2" fillId="0" borderId="0" xfId="0" applyNumberFormat="1" applyFont="1" applyFill="1" applyBorder="1" applyAlignment="1">
      <x:alignment vertical="center"/>
    </x:xf>
    <x:xf numFmtId="206" fontId="2" fillId="0" borderId="1" xfId="0" applyNumberFormat="1" applyFont="1" applyFill="1" applyBorder="1" applyAlignment="1">
      <x:alignment vertical="center"/>
    </x:xf>
    <x:xf numFmtId="207" fontId="2" fillId="0" borderId="0" xfId="0" applyNumberFormat="1" applyFont="1" applyFill="1" applyBorder="1" applyAlignment="1">
      <x:alignment vertical="center"/>
    </x:xf>
    <x:xf numFmtId="207" fontId="2" fillId="0" borderId="1" xfId="0" applyNumberFormat="1" applyFont="1" applyFill="1" applyBorder="1" applyAlignment="1">
      <x:alignment vertical="center"/>
    </x:xf>
    <x:xf numFmtId="202" fontId="8" fillId="0" borderId="0" xfId="0" applyNumberFormat="1" applyFont="1" applyFill="1" applyBorder="1" applyAlignment="1">
      <x:alignment vertical="center"/>
    </x:xf>
    <x:xf numFmtId="202" fontId="8" fillId="0" borderId="1" xfId="0" applyNumberFormat="1" applyFont="1" applyFill="1" applyBorder="1" applyAlignment="1">
      <x:alignment vertical="center"/>
    </x:xf>
    <x:xf numFmtId="0" fontId="16" fillId="2" borderId="0" xfId="0" applyNumberFormat="1" applyFont="1" applyFill="1" applyBorder="1" applyAlignment="1">
      <x:alignment horizontal="left" vertical="center"/>
    </x:xf>
    <x:xf numFmtId="0" fontId="16" fillId="2" borderId="1" xfId="0" applyNumberFormat="1" applyFont="1" applyFill="1" applyBorder="1" applyAlignment="1">
      <x:alignment horizontal="left" vertical="center"/>
    </x:xf>
    <x:xf numFmtId="202" fontId="6" fillId="0" borderId="0" xfId="0" applyNumberFormat="1" applyFont="1" applyFill="1" applyBorder="1" applyAlignment="1">
      <x:alignment vertical="center"/>
    </x:xf>
    <x:xf numFmtId="202" fontId="6" fillId="0" borderId="1" xfId="0" applyNumberFormat="1" applyFont="1" applyFill="1" applyBorder="1" applyAlignment="1">
      <x:alignment vertical="center"/>
    </x:xf>
    <x:xf numFmtId="202" fontId="6" fillId="0" borderId="4" xfId="0" applyNumberFormat="1" applyFont="1" applyFill="1" applyBorder="1" applyAlignment="1">
      <x:alignment vertical="center"/>
    </x:xf>
    <x:xf numFmtId="202" fontId="6" fillId="0" borderId="5" xfId="0" applyNumberFormat="1" applyFont="1" applyFill="1" applyBorder="1" applyAlignment="1">
      <x:alignment vertical="center"/>
    </x:xf>
    <x:xf numFmtId="0" fontId="2" fillId="5" borderId="0" xfId="0" applyNumberFormat="1" applyFont="1" applyFill="1" applyBorder="1" applyAlignment="1">
      <x:alignment vertical="center"/>
    </x:xf>
    <x:xf numFmtId="0" fontId="2" fillId="5" borderId="1" xfId="0" applyNumberFormat="1" applyFont="1" applyFill="1" applyBorder="1" applyAlignment="1">
      <x:alignment vertical="center"/>
    </x:xf>
    <x:xf numFmtId="0" fontId="14" fillId="5" borderId="0" xfId="0" applyNumberFormat="1" applyFont="1" applyFill="1" applyBorder="1" applyAlignment="1">
      <x:alignment vertical="center"/>
    </x:xf>
    <x:xf numFmtId="0" fontId="14" fillId="5" borderId="1" xfId="0" applyNumberFormat="1" applyFont="1" applyFill="1" applyBorder="1" applyAlignment="1">
      <x:alignment vertical="center"/>
    </x:xf>
    <x:xf numFmtId="200" fontId="14" fillId="5" borderId="0" xfId="0" applyNumberFormat="1" applyFont="1" applyFill="1" applyBorder="1" applyAlignment="1">
      <x:alignment vertical="center"/>
    </x:xf>
    <x:xf numFmtId="200" fontId="14" fillId="5" borderId="1" xfId="0" applyNumberFormat="1" applyFont="1" applyFill="1" applyBorder="1" applyAlignment="1">
      <x:alignment vertical="center"/>
    </x:xf>
    <x:xf numFmtId="206" fontId="8" fillId="0" borderId="0" xfId="0" applyNumberFormat="1" applyFont="1" applyFill="1" applyBorder="1" applyAlignment="1">
      <x:alignment vertical="center"/>
    </x:xf>
    <x:xf numFmtId="206" fontId="8" fillId="0" borderId="1" xfId="0" applyNumberFormat="1" applyFont="1" applyFill="1" applyBorder="1" applyAlignment="1">
      <x:alignment vertical="center"/>
    </x:xf>
    <x:xf numFmtId="200" fontId="6" fillId="4" borderId="2" xfId="0" applyNumberFormat="1" applyFont="1" applyFill="1" applyBorder="1" applyAlignment="1">
      <x:alignment horizontal="center" vertical="center"/>
    </x:xf>
    <x:xf numFmtId="200" fontId="6" fillId="4" borderId="3" xfId="0" applyNumberFormat="1" applyFont="1" applyFill="1" applyBorder="1" applyAlignment="1">
      <x:alignment horizontal="center" vertical="center"/>
    </x:xf>
    <x:xf numFmtId="202" fontId="2" fillId="2" borderId="0" xfId="0" applyNumberFormat="1" applyFont="1" applyFill="1" applyBorder="1" applyAlignment="1">
      <x:alignment vertical="center"/>
    </x:xf>
    <x:xf numFmtId="202" fontId="17" fillId="2" borderId="0" xfId="0" applyNumberFormat="1" applyFont="1" applyFill="1" applyBorder="1" applyAlignment="1">
      <x:alignment vertical="center"/>
    </x:xf>
    <x:xf numFmtId="202" fontId="17" fillId="2" borderId="12" xfId="0" applyNumberFormat="1" applyFont="1" applyFill="1" applyBorder="1" applyAlignment="1">
      <x:alignment vertical="center"/>
    </x:xf>
    <x:xf numFmtId="202" fontId="2" fillId="2" borderId="1" xfId="0" applyNumberFormat="1" applyFont="1" applyFill="1" applyBorder="1" applyAlignment="1">
      <x:alignment vertical="center"/>
    </x:xf>
    <x:xf numFmtId="202" fontId="17" fillId="2" borderId="1" xfId="0" applyNumberFormat="1" applyFont="1" applyFill="1" applyBorder="1" applyAlignment="1">
      <x:alignment vertical="center"/>
    </x:xf>
    <x:xf numFmtId="202" fontId="17" fillId="2" borderId="13" xfId="0" applyNumberFormat="1" applyFont="1" applyFill="1" applyBorder="1" applyAlignment="1">
      <x:alignment vertical="center"/>
    </x:xf>
    <x:xf numFmtId="0" fontId="17" fillId="2" borderId="0" xfId="0" applyNumberFormat="1" applyFont="1" applyFill="1" applyBorder="1" applyAlignment="1">
      <x:alignment vertical="center"/>
    </x:xf>
    <x:xf numFmtId="0" fontId="17" fillId="2" borderId="14" xfId="0" applyNumberFormat="1" applyFont="1" applyFill="1" applyBorder="1" applyAlignment="1">
      <x:alignment vertical="center"/>
    </x:xf>
    <x:xf numFmtId="0" fontId="17" fillId="2" borderId="14" xfId="0" applyNumberFormat="1" applyFont="1" applyFill="1" applyBorder="1" applyAlignment="1">
      <x:alignment horizontal="center" vertical="center"/>
    </x:xf>
    <x:xf numFmtId="0" fontId="17" fillId="2" borderId="1" xfId="0" applyNumberFormat="1" applyFont="1" applyFill="1" applyBorder="1" applyAlignment="1">
      <x:alignment vertical="center"/>
    </x:xf>
    <x:xf numFmtId="0" fontId="17" fillId="2" borderId="15" xfId="0" applyNumberFormat="1" applyFont="1" applyFill="1" applyBorder="1" applyAlignment="1">
      <x:alignment vertical="center"/>
    </x:xf>
    <x:xf numFmtId="0" fontId="17" fillId="2" borderId="15" xfId="0" applyNumberFormat="1" applyFont="1" applyFill="1" applyBorder="1" applyAlignment="1">
      <x:alignment horizontal="center" vertical="center"/>
    </x:xf>
    <x:xf numFmtId="0" fontId="18" fillId="3" borderId="0" xfId="0" applyNumberFormat="1" applyFont="1" applyFill="1" applyBorder="1" applyAlignment="1">
      <x:alignment vertical="center"/>
    </x:xf>
    <x:xf numFmtId="0" fontId="18" fillId="3" borderId="16" xfId="0" applyNumberFormat="1" applyFont="1" applyFill="1" applyBorder="1" applyAlignment="1">
      <x:alignment vertical="center"/>
    </x:xf>
    <x:xf numFmtId="0" fontId="18" fillId="3" borderId="17" xfId="0" applyNumberFormat="1" applyFont="1" applyFill="1" applyBorder="1" applyAlignment="1">
      <x:alignment vertical="center"/>
    </x:xf>
    <x:xf numFmtId="0" fontId="18" fillId="3" borderId="18" xfId="0" applyNumberFormat="1" applyFont="1" applyFill="1" applyBorder="1" applyAlignment="1">
      <x:alignment vertical="center"/>
    </x:xf>
    <x:xf numFmtId="0" fontId="18" fillId="3" borderId="19" xfId="0" applyNumberFormat="1" applyFont="1" applyFill="1" applyBorder="1" applyAlignment="1">
      <x:alignment vertical="center"/>
    </x:xf>
    <x:xf numFmtId="0" fontId="18" fillId="3" borderId="2" xfId="0" applyNumberFormat="1" applyFont="1" applyFill="1" applyBorder="1" applyAlignment="1">
      <x:alignment vertical="center"/>
    </x:xf>
    <x:xf numFmtId="0" fontId="18" fillId="3" borderId="20" xfId="0" applyNumberFormat="1" applyFont="1" applyFill="1" applyBorder="1" applyAlignment="1">
      <x:alignment vertical="center"/>
    </x:xf>
    <x:xf numFmtId="0" fontId="18" fillId="3" borderId="16" xfId="0" applyNumberFormat="1" applyFont="1" applyFill="1" applyBorder="1" applyAlignment="1">
      <x:alignment horizontal="center" vertical="center"/>
    </x:xf>
    <x:xf numFmtId="0" fontId="18" fillId="3" borderId="17" xfId="0" applyNumberFormat="1" applyFont="1" applyFill="1" applyBorder="1" applyAlignment="1">
      <x:alignment horizontal="center" vertical="center"/>
    </x:xf>
    <x:xf numFmtId="0" fontId="18" fillId="3" borderId="18" xfId="0" applyNumberFormat="1" applyFont="1" applyFill="1" applyBorder="1" applyAlignment="1">
      <x:alignment horizontal="center" vertical="center"/>
    </x:xf>
    <x:xf numFmtId="0" fontId="18" fillId="3" borderId="19" xfId="0" applyNumberFormat="1" applyFont="1" applyFill="1" applyBorder="1" applyAlignment="1">
      <x:alignment horizontal="center" vertical="center"/>
    </x:xf>
    <x:xf numFmtId="0" fontId="18" fillId="3" borderId="2" xfId="0" applyNumberFormat="1" applyFont="1" applyFill="1" applyBorder="1" applyAlignment="1">
      <x:alignment horizontal="center" vertical="center"/>
    </x:xf>
    <x:xf numFmtId="0" fontId="18" fillId="3" borderId="20" xfId="0" applyNumberFormat="1" applyFont="1" applyFill="1" applyBorder="1" applyAlignment="1">
      <x:alignment horizontal="center" vertical="center"/>
    </x:xf>
    <x:xf numFmtId="0" fontId="18" fillId="3" borderId="1" xfId="0" applyNumberFormat="1" applyFont="1" applyFill="1" applyBorder="1" applyAlignment="1">
      <x:alignment vertical="center"/>
    </x:xf>
    <x:xf numFmtId="0" fontId="18" fillId="3" borderId="21" xfId="0" applyNumberFormat="1" applyFont="1" applyFill="1" applyBorder="1" applyAlignment="1">
      <x:alignment vertical="center"/>
    </x:xf>
    <x:xf numFmtId="0" fontId="18" fillId="3" borderId="22" xfId="0" applyNumberFormat="1" applyFont="1" applyFill="1" applyBorder="1" applyAlignment="1">
      <x:alignment vertical="center"/>
    </x:xf>
    <x:xf numFmtId="0" fontId="18" fillId="3" borderId="23" xfId="0" applyNumberFormat="1" applyFont="1" applyFill="1" applyBorder="1" applyAlignment="1">
      <x:alignment vertical="center"/>
    </x:xf>
    <x:xf numFmtId="0" fontId="18" fillId="3" borderId="24" xfId="0" applyNumberFormat="1" applyFont="1" applyFill="1" applyBorder="1" applyAlignment="1">
      <x:alignment vertical="center"/>
    </x:xf>
    <x:xf numFmtId="0" fontId="18" fillId="3" borderId="3" xfId="0" applyNumberFormat="1" applyFont="1" applyFill="1" applyBorder="1" applyAlignment="1">
      <x:alignment vertical="center"/>
    </x:xf>
    <x:xf numFmtId="0" fontId="18" fillId="3" borderId="25" xfId="0" applyNumberFormat="1" applyFont="1" applyFill="1" applyBorder="1" applyAlignment="1">
      <x:alignment vertical="center"/>
    </x:xf>
    <x:xf numFmtId="0" fontId="18" fillId="3" borderId="21" xfId="0" applyNumberFormat="1" applyFont="1" applyFill="1" applyBorder="1" applyAlignment="1">
      <x:alignment horizontal="center" vertical="center"/>
    </x:xf>
    <x:xf numFmtId="0" fontId="18" fillId="3" borderId="22" xfId="0" applyNumberFormat="1" applyFont="1" applyFill="1" applyBorder="1" applyAlignment="1">
      <x:alignment horizontal="center" vertical="center"/>
    </x:xf>
    <x:xf numFmtId="0" fontId="18" fillId="3" borderId="23" xfId="0" applyNumberFormat="1" applyFont="1" applyFill="1" applyBorder="1" applyAlignment="1">
      <x:alignment horizontal="center" vertical="center"/>
    </x:xf>
    <x:xf numFmtId="0" fontId="18" fillId="3" borderId="24" xfId="0" applyNumberFormat="1" applyFont="1" applyFill="1" applyBorder="1" applyAlignment="1">
      <x:alignment horizontal="center" vertical="center"/>
    </x:xf>
    <x:xf numFmtId="0" fontId="18" fillId="3" borderId="3" xfId="0" applyNumberFormat="1" applyFont="1" applyFill="1" applyBorder="1" applyAlignment="1">
      <x:alignment horizontal="center" vertical="center"/>
    </x:xf>
    <x:xf numFmtId="0" fontId="18" fillId="3" borderId="25" xfId="0" applyNumberFormat="1" applyFont="1" applyFill="1" applyBorder="1" applyAlignment="1">
      <x:alignment horizontal="center" vertical="center"/>
    </x:xf>
    <x:xf numFmtId="202" fontId="18" fillId="3" borderId="16" xfId="0" applyNumberFormat="1" applyFont="1" applyFill="1" applyBorder="1" applyAlignment="1">
      <x:alignment horizontal="center" vertical="center"/>
    </x:xf>
    <x:xf numFmtId="202" fontId="18" fillId="3" borderId="17" xfId="0" applyNumberFormat="1" applyFont="1" applyFill="1" applyBorder="1" applyAlignment="1">
      <x:alignment horizontal="center" vertical="center"/>
    </x:xf>
    <x:xf numFmtId="202" fontId="18" fillId="3" borderId="18" xfId="0" applyNumberFormat="1" applyFont="1" applyFill="1" applyBorder="1" applyAlignment="1">
      <x:alignment horizontal="center" vertical="center"/>
    </x:xf>
    <x:xf numFmtId="202" fontId="18" fillId="3" borderId="19" xfId="0" applyNumberFormat="1" applyFont="1" applyFill="1" applyBorder="1" applyAlignment="1">
      <x:alignment horizontal="center" vertical="center"/>
    </x:xf>
    <x:xf numFmtId="202" fontId="18" fillId="3" borderId="2" xfId="0" applyNumberFormat="1" applyFont="1" applyFill="1" applyBorder="1" applyAlignment="1">
      <x:alignment horizontal="center" vertical="center"/>
    </x:xf>
    <x:xf numFmtId="202" fontId="18" fillId="3" borderId="20" xfId="0" applyNumberFormat="1" applyFont="1" applyFill="1" applyBorder="1" applyAlignment="1">
      <x:alignment horizontal="center" vertical="center"/>
    </x:xf>
    <x:xf numFmtId="202" fontId="18" fillId="3" borderId="21" xfId="0" applyNumberFormat="1" applyFont="1" applyFill="1" applyBorder="1" applyAlignment="1">
      <x:alignment horizontal="center" vertical="center"/>
    </x:xf>
    <x:xf numFmtId="202" fontId="18" fillId="3" borderId="22" xfId="0" applyNumberFormat="1" applyFont="1" applyFill="1" applyBorder="1" applyAlignment="1">
      <x:alignment horizontal="center" vertical="center"/>
    </x:xf>
    <x:xf numFmtId="202" fontId="18" fillId="3" borderId="23" xfId="0" applyNumberFormat="1" applyFont="1" applyFill="1" applyBorder="1" applyAlignment="1">
      <x:alignment horizontal="center" vertical="center"/>
    </x:xf>
    <x:xf numFmtId="202" fontId="18" fillId="3" borderId="24" xfId="0" applyNumberFormat="1" applyFont="1" applyFill="1" applyBorder="1" applyAlignment="1">
      <x:alignment horizontal="center" vertical="center"/>
    </x:xf>
    <x:xf numFmtId="202" fontId="18" fillId="3" borderId="3" xfId="0" applyNumberFormat="1" applyFont="1" applyFill="1" applyBorder="1" applyAlignment="1">
      <x:alignment horizontal="center" vertical="center"/>
    </x:xf>
    <x:xf numFmtId="202" fontId="18" fillId="3" borderId="25" xfId="0" applyNumberFormat="1" applyFont="1" applyFill="1" applyBorder="1" applyAlignment="1">
      <x:alignment horizontal="center" vertical="center"/>
    </x:xf>
    <x:xf numFmtId="200" fontId="18" fillId="3" borderId="16" xfId="0" applyNumberFormat="1" applyFont="1" applyFill="1" applyBorder="1" applyAlignment="1">
      <x:alignment horizontal="center" vertical="center"/>
    </x:xf>
    <x:xf numFmtId="200" fontId="18" fillId="3" borderId="17" xfId="0" applyNumberFormat="1" applyFont="1" applyFill="1" applyBorder="1" applyAlignment="1">
      <x:alignment horizontal="center" vertical="center"/>
    </x:xf>
    <x:xf numFmtId="200" fontId="18" fillId="3" borderId="18" xfId="0" applyNumberFormat="1" applyFont="1" applyFill="1" applyBorder="1" applyAlignment="1">
      <x:alignment horizontal="center" vertical="center"/>
    </x:xf>
    <x:xf numFmtId="200" fontId="18" fillId="3" borderId="19" xfId="0" applyNumberFormat="1" applyFont="1" applyFill="1" applyBorder="1" applyAlignment="1">
      <x:alignment horizontal="center" vertical="center"/>
    </x:xf>
    <x:xf numFmtId="200" fontId="18" fillId="3" borderId="2" xfId="0" applyNumberFormat="1" applyFont="1" applyFill="1" applyBorder="1" applyAlignment="1">
      <x:alignment horizontal="center" vertical="center"/>
    </x:xf>
    <x:xf numFmtId="200" fontId="18" fillId="3" borderId="20" xfId="0" applyNumberFormat="1" applyFont="1" applyFill="1" applyBorder="1" applyAlignment="1">
      <x:alignment horizontal="center" vertical="center"/>
    </x:xf>
    <x:xf numFmtId="200" fontId="18" fillId="3" borderId="21" xfId="0" applyNumberFormat="1" applyFont="1" applyFill="1" applyBorder="1" applyAlignment="1">
      <x:alignment horizontal="center" vertical="center"/>
    </x:xf>
    <x:xf numFmtId="200" fontId="18" fillId="3" borderId="22" xfId="0" applyNumberFormat="1" applyFont="1" applyFill="1" applyBorder="1" applyAlignment="1">
      <x:alignment horizontal="center" vertical="center"/>
    </x:xf>
    <x:xf numFmtId="200" fontId="18" fillId="3" borderId="23" xfId="0" applyNumberFormat="1" applyFont="1" applyFill="1" applyBorder="1" applyAlignment="1">
      <x:alignment horizontal="center" vertical="center"/>
    </x:xf>
    <x:xf numFmtId="200" fontId="18" fillId="3" borderId="24" xfId="0" applyNumberFormat="1" applyFont="1" applyFill="1" applyBorder="1" applyAlignment="1">
      <x:alignment horizontal="center" vertical="center"/>
    </x:xf>
    <x:xf numFmtId="200" fontId="18" fillId="3" borderId="3" xfId="0" applyNumberFormat="1" applyFont="1" applyFill="1" applyBorder="1" applyAlignment="1">
      <x:alignment horizontal="center" vertical="center"/>
    </x:xf>
    <x:xf numFmtId="200" fontId="18" fillId="3" borderId="25" xfId="0" applyNumberFormat="1" applyFont="1" applyFill="1" applyBorder="1" applyAlignment="1">
      <x:alignment horizontal="center" vertical="center"/>
    </x:xf>
    <x:xf numFmtId="200" fontId="19" fillId="3" borderId="16" xfId="0" applyNumberFormat="1" applyFont="1" applyFill="1" applyBorder="1" applyAlignment="1">
      <x:alignment horizontal="center" vertical="center"/>
    </x:xf>
    <x:xf numFmtId="200" fontId="19" fillId="3" borderId="17" xfId="0" applyNumberFormat="1" applyFont="1" applyFill="1" applyBorder="1" applyAlignment="1">
      <x:alignment horizontal="center" vertical="center"/>
    </x:xf>
    <x:xf numFmtId="200" fontId="19" fillId="3" borderId="18" xfId="0" applyNumberFormat="1" applyFont="1" applyFill="1" applyBorder="1" applyAlignment="1">
      <x:alignment horizontal="center" vertical="center"/>
    </x:xf>
    <x:xf numFmtId="200" fontId="19" fillId="3" borderId="19" xfId="0" applyNumberFormat="1" applyFont="1" applyFill="1" applyBorder="1" applyAlignment="1">
      <x:alignment horizontal="center" vertical="center"/>
    </x:xf>
    <x:xf numFmtId="200" fontId="19" fillId="3" borderId="2" xfId="0" applyNumberFormat="1" applyFont="1" applyFill="1" applyBorder="1" applyAlignment="1">
      <x:alignment horizontal="center" vertical="center"/>
    </x:xf>
    <x:xf numFmtId="200" fontId="19" fillId="3" borderId="20" xfId="0" applyNumberFormat="1" applyFont="1" applyFill="1" applyBorder="1" applyAlignment="1">
      <x:alignment horizontal="center" vertical="center"/>
    </x:xf>
    <x:xf numFmtId="200" fontId="19" fillId="3" borderId="21" xfId="0" applyNumberFormat="1" applyFont="1" applyFill="1" applyBorder="1" applyAlignment="1">
      <x:alignment horizontal="center" vertical="center"/>
    </x:xf>
    <x:xf numFmtId="200" fontId="19" fillId="3" borderId="22" xfId="0" applyNumberFormat="1" applyFont="1" applyFill="1" applyBorder="1" applyAlignment="1">
      <x:alignment horizontal="center" vertical="center"/>
    </x:xf>
    <x:xf numFmtId="200" fontId="19" fillId="3" borderId="23" xfId="0" applyNumberFormat="1" applyFont="1" applyFill="1" applyBorder="1" applyAlignment="1">
      <x:alignment horizontal="center" vertical="center"/>
    </x:xf>
    <x:xf numFmtId="200" fontId="19" fillId="3" borderId="24" xfId="0" applyNumberFormat="1" applyFont="1" applyFill="1" applyBorder="1" applyAlignment="1">
      <x:alignment horizontal="center" vertical="center"/>
    </x:xf>
    <x:xf numFmtId="200" fontId="19" fillId="3" borderId="3" xfId="0" applyNumberFormat="1" applyFont="1" applyFill="1" applyBorder="1" applyAlignment="1">
      <x:alignment horizontal="center" vertical="center"/>
    </x:xf>
    <x:xf numFmtId="200" fontId="19" fillId="3" borderId="25" xfId="0" applyNumberFormat="1" applyFont="1" applyFill="1" applyBorder="1" applyAlignment="1">
      <x:alignment horizontal="center" vertical="center"/>
    </x:xf>
    <x:xf numFmtId="0" fontId="20" fillId="3" borderId="0" xfId="0" applyNumberFormat="1" applyFont="1" applyFill="1" applyBorder="1" applyAlignment="1">
      <x:alignment vertical="center"/>
    </x:xf>
    <x:xf numFmtId="0" fontId="20" fillId="3" borderId="0" xfId="0" applyNumberFormat="1" applyFont="1" applyFill="1" applyBorder="1" applyAlignment="1">
      <x:alignment vertical="center" wrapText="1"/>
    </x:xf>
    <x:xf numFmtId="0" fontId="20" fillId="3" borderId="0" xfId="0" applyNumberFormat="1" applyFont="1" applyFill="1" applyBorder="1" applyAlignment="1">
      <x:alignment horizontal="center" vertical="center" wrapText="1"/>
    </x:xf>
    <x:xf numFmtId="0" fontId="20" fillId="3" borderId="1" xfId="0" applyNumberFormat="1" applyFont="1" applyFill="1" applyBorder="1" applyAlignment="1">
      <x:alignment vertical="center"/>
    </x:xf>
    <x:xf numFmtId="0" fontId="20" fillId="3" borderId="1" xfId="0" applyNumberFormat="1" applyFont="1" applyFill="1" applyBorder="1" applyAlignment="1">
      <x:alignment vertical="center" wrapText="1"/>
    </x:xf>
    <x:xf numFmtId="0" fontId="20" fillId="3" borderId="1" xfId="0" applyNumberFormat="1" applyFont="1" applyFill="1" applyBorder="1" applyAlignment="1">
      <x:alignment horizontal="center" vertical="center" wrapText="1"/>
    </x:xf>
    <x:xf numFmtId="0" fontId="21" fillId="6" borderId="0" xfId="0" applyNumberFormat="1" applyFont="1" applyFill="1" applyBorder="1" applyAlignment="1">
      <x:alignment vertical="center"/>
    </x:xf>
    <x:xf numFmtId="0" fontId="21" fillId="6" borderId="0" xfId="0" applyNumberFormat="1" applyFont="1" applyFill="1" applyBorder="1" applyAlignment="1">
      <x:alignment vertical="center" wrapText="1"/>
    </x:xf>
    <x:xf numFmtId="0" fontId="21" fillId="6" borderId="0" xfId="0" applyNumberFormat="1" applyFont="1" applyFill="1" applyBorder="1" applyAlignment="1">
      <x:alignment horizontal="left" vertical="center" wrapText="1"/>
    </x:xf>
    <x:xf numFmtId="0" fontId="21" fillId="6" borderId="1" xfId="0" applyNumberFormat="1" applyFont="1" applyFill="1" applyBorder="1" applyAlignment="1">
      <x:alignment vertical="center"/>
    </x:xf>
    <x:xf numFmtId="0" fontId="21" fillId="6" borderId="1" xfId="0" applyNumberFormat="1" applyFont="1" applyFill="1" applyBorder="1" applyAlignment="1">
      <x:alignment vertical="center" wrapText="1"/>
    </x:xf>
    <x:xf numFmtId="0" fontId="21" fillId="6" borderId="1"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2" fillId="8" borderId="0" xfId="0" applyNumberFormat="1" applyFont="1" applyFill="1" applyBorder="1" applyAlignment="1">
      <x:alignment vertical="center"/>
    </x:xf>
    <x:xf numFmtId="0" fontId="2" fillId="8" borderId="0" xfId="0" applyNumberFormat="1" applyFont="1" applyFill="1" applyBorder="1" applyAlignment="1">
      <x:alignment vertical="center" wrapText="1"/>
    </x:xf>
    <x:xf numFmtId="0" fontId="2" fillId="8" borderId="0" xfId="0" applyNumberFormat="1" applyFont="1" applyFill="1" applyBorder="1" applyAlignment="1">
      <x:alignment vertical="top" wrapText="1"/>
    </x:xf>
    <x:xf numFmtId="0" fontId="2" fillId="8" borderId="1" xfId="0" applyNumberFormat="1" applyFont="1" applyFill="1" applyBorder="1" applyAlignment="1">
      <x:alignment vertical="center"/>
    </x:xf>
    <x:xf numFmtId="0" fontId="2" fillId="8" borderId="1" xfId="0" applyNumberFormat="1" applyFont="1" applyFill="1" applyBorder="1" applyAlignment="1">
      <x:alignment vertical="center" wrapText="1"/>
    </x:xf>
    <x:xf numFmtId="0" fontId="2" fillId="8" borderId="1" xfId="0" applyNumberFormat="1" applyFont="1" applyFill="1" applyBorder="1" applyAlignment="1">
      <x:alignment vertical="top" wrapText="1"/>
    </x:xf>
    <x:xf numFmtId="0" fontId="2" fillId="9" borderId="0" xfId="0" applyNumberFormat="1" applyFont="1" applyFill="1" applyBorder="1" applyAlignment="1">
      <x:alignment vertical="center"/>
    </x:xf>
    <x:xf numFmtId="0" fontId="16" fillId="9" borderId="0" xfId="0" applyNumberFormat="1" applyFont="1" applyFill="1" applyBorder="1" applyAlignment="1">
      <x:alignment vertical="center"/>
    </x:xf>
    <x:xf numFmtId="0" fontId="16" fillId="9" borderId="0" xfId="0" applyNumberFormat="1" applyFont="1" applyFill="1" applyBorder="1" applyAlignment="1">
      <x:alignment vertical="center" wrapText="1"/>
    </x:xf>
    <x:xf numFmtId="0" fontId="2" fillId="9" borderId="1" xfId="0" applyNumberFormat="1" applyFont="1" applyFill="1" applyBorder="1" applyAlignment="1">
      <x:alignment vertical="center"/>
    </x:xf>
    <x:xf numFmtId="0" fontId="16" fillId="9" borderId="1" xfId="0" applyNumberFormat="1" applyFont="1" applyFill="1" applyBorder="1" applyAlignment="1">
      <x:alignment vertical="center"/>
    </x:xf>
    <x:xf numFmtId="0" fontId="16" fillId="9" borderId="1" xfId="0" applyNumberFormat="1" applyFont="1" applyFill="1" applyBorder="1" applyAlignment="1">
      <x:alignment vertical="center" wrapText="1"/>
    </x:xf>
    <x:xf numFmtId="202" fontId="0" fillId="0" borderId="0" xfId="0" applyNumberFormat="1" applyFont="1" applyFill="1" applyBorder="1"/>
    <x:xf numFmtId="202" fontId="0" fillId="0" borderId="1"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208" fontId="2" fillId="0" borderId="0" xfId="0" applyNumberFormat="1" applyFont="1" applyFill="1" applyBorder="1" applyAlignment="1">
      <x:alignment vertical="center"/>
    </x:xf>
    <x:xf numFmtId="208" fontId="2" fillId="0" borderId="1" xfId="0" applyNumberFormat="1" applyFont="1" applyFill="1" applyBorder="1" applyAlignment="1">
      <x:alignment vertical="center"/>
    </x:xf>
    <x:xf numFmtId="208" fontId="18" fillId="3" borderId="16" xfId="0" applyNumberFormat="1" applyFont="1" applyFill="1" applyBorder="1" applyAlignment="1">
      <x:alignment horizontal="center" vertical="center"/>
    </x:xf>
    <x:xf numFmtId="208" fontId="18" fillId="3" borderId="21" xfId="0" applyNumberFormat="1" applyFont="1" applyFill="1" applyBorder="1" applyAlignment="1">
      <x:alignment horizontal="center" vertical="center"/>
    </x:xf>
    <x:xf numFmtId="0" fontId="2" fillId="3" borderId="26" xfId="0" applyNumberFormat="1" applyFont="1" applyFill="1" applyBorder="1" applyAlignment="1">
      <x:alignment vertical="top" wrapText="1"/>
    </x:xf>
    <x:xf numFmtId="0" fontId="2" fillId="3" borderId="27" xfId="0" applyNumberFormat="1" applyFont="1" applyFill="1" applyBorder="1" applyAlignment="1">
      <x:alignment vertical="top" wrapText="1"/>
    </x:xf>
    <x:xf numFmtId="0" fontId="2" fillId="3" borderId="28" xfId="0" applyNumberFormat="1" applyFont="1" applyFill="1" applyBorder="1" applyAlignment="1">
      <x:alignment vertical="top" wrapText="1"/>
    </x:xf>
    <x:xf numFmtId="0" fontId="2" fillId="3" borderId="26" xfId="0" applyNumberFormat="1" applyFont="1" applyFill="1" applyBorder="1" applyAlignment="1">
      <x:alignment horizontal="left" vertical="top" wrapText="1"/>
    </x:xf>
    <x:xf numFmtId="0" fontId="2" fillId="3" borderId="27" xfId="0" applyNumberFormat="1" applyFont="1" applyFill="1" applyBorder="1" applyAlignment="1">
      <x:alignment horizontal="left" vertical="top" wrapText="1"/>
    </x:xf>
    <x:xf numFmtId="0" fontId="2" fillId="3" borderId="28" xfId="0" applyNumberFormat="1" applyFont="1" applyFill="1" applyBorder="1" applyAlignment="1">
      <x:alignment horizontal="left" vertical="top" wrapText="1"/>
    </x:xf>
    <x:xf numFmtId="0" fontId="2" fillId="3" borderId="29" xfId="0" applyNumberFormat="1" applyFont="1" applyFill="1" applyBorder="1" applyAlignment="1">
      <x:alignment vertical="top" wrapText="1"/>
    </x:xf>
    <x:xf numFmtId="0" fontId="2" fillId="3" borderId="30" xfId="0" applyNumberFormat="1" applyFont="1" applyFill="1" applyBorder="1" applyAlignment="1">
      <x:alignment vertical="top" wrapText="1"/>
    </x:xf>
    <x:xf numFmtId="0" fontId="2" fillId="3" borderId="31" xfId="0" applyNumberFormat="1" applyFont="1" applyFill="1" applyBorder="1" applyAlignment="1">
      <x:alignment vertical="top" wrapText="1"/>
    </x:xf>
    <x:xf numFmtId="0" fontId="2" fillId="3" borderId="29" xfId="0" applyNumberFormat="1" applyFont="1" applyFill="1" applyBorder="1" applyAlignment="1">
      <x:alignment horizontal="left" vertical="top" wrapText="1"/>
    </x:xf>
    <x:xf numFmtId="0" fontId="2" fillId="3" borderId="30" xfId="0" applyNumberFormat="1" applyFont="1" applyFill="1" applyBorder="1" applyAlignment="1">
      <x:alignment horizontal="left" vertical="top" wrapText="1"/>
    </x:xf>
    <x:xf numFmtId="0" fontId="2" fillId="3" borderId="31" xfId="0" applyNumberFormat="1" applyFont="1" applyFill="1" applyBorder="1" applyAlignment="1">
      <x:alignment horizontal="left" vertical="top" wrapText="1"/>
    </x:xf>
    <x:xf numFmtId="0" fontId="16" fillId="9" borderId="26" xfId="0" applyNumberFormat="1" applyFont="1" applyFill="1" applyBorder="1" applyAlignment="1">
      <x:alignment vertical="center" wrapText="1"/>
    </x:xf>
    <x:xf numFmtId="0" fontId="16" fillId="9" borderId="27" xfId="0" applyNumberFormat="1" applyFont="1" applyFill="1" applyBorder="1" applyAlignment="1">
      <x:alignment vertical="center" wrapText="1"/>
    </x:xf>
    <x:xf numFmtId="0" fontId="16" fillId="9" borderId="28" xfId="0" applyNumberFormat="1" applyFont="1" applyFill="1" applyBorder="1" applyAlignment="1">
      <x:alignment vertical="center" wrapText="1"/>
    </x:xf>
    <x:xf numFmtId="0" fontId="16" fillId="9" borderId="26" xfId="0" applyNumberFormat="1" applyFont="1" applyFill="1" applyBorder="1" applyAlignment="1">
      <x:alignment horizontal="left" vertical="center" wrapText="1"/>
    </x:xf>
    <x:xf numFmtId="0" fontId="16" fillId="9" borderId="27" xfId="0" applyNumberFormat="1" applyFont="1" applyFill="1" applyBorder="1" applyAlignment="1">
      <x:alignment horizontal="left" vertical="center" wrapText="1"/>
    </x:xf>
    <x:xf numFmtId="0" fontId="16" fillId="9" borderId="28" xfId="0" applyNumberFormat="1" applyFont="1" applyFill="1" applyBorder="1" applyAlignment="1">
      <x:alignment horizontal="left" vertical="center" wrapText="1"/>
    </x:xf>
    <x:xf numFmtId="0" fontId="0" fillId="0"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left"/>
    </x:xf>
    <x:xf numFmtId="0" fontId="1" fillId="10" borderId="0" xfId="0" applyNumberFormat="1" applyFont="1" applyFill="1" applyBorder="1" applyAlignment="1">
      <x:alignment horizontal="left" vertical="center"/>
    </x:xf>
    <x:xf numFmtId="0" fontId="0" fillId="11" borderId="0" xfId="0" applyNumberFormat="1" applyFont="1" applyFill="1" applyBorder="1"/>
    <x:xf numFmtId="0" fontId="22" fillId="11" borderId="0" xfId="0" applyNumberFormat="1" applyFont="1" applyFill="1" applyBorder="1"/>
    <x:xf numFmtId="0" fontId="22" fillId="11" borderId="0" xfId="0" applyNumberFormat="1" applyFont="1" applyFill="1" applyBorder="1" applyAlignment="1">
      <x:alignment horizontal="left"/>
    </x:xf>
    <x:xf numFmtId="0" fontId="22" fillId="11"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x:xf>
    <x:xf numFmtId="0" fontId="9" fillId="10" borderId="0" xfId="0" applyNumberFormat="1" applyFont="1" applyFill="1" applyBorder="1" applyAlignment="1">
      <x:alignment horizontal="left" vertical="center"/>
    </x:xf>
    <x:xf numFmtId="0" fontId="0" fillId="12" borderId="0" xfId="0" applyNumberFormat="1" applyFont="1" applyFill="1" applyBorder="1"/>
    <x:xf numFmtId="0" fontId="23" fillId="12" borderId="0" xfId="0" applyNumberFormat="1" applyFont="1" applyFill="1" applyBorder="1"/>
    <x:xf numFmtId="0" fontId="23" fillId="12" borderId="16" xfId="0" applyNumberFormat="1" applyFont="1" applyFill="1" applyBorder="1"/>
    <x:xf numFmtId="0" fontId="23" fillId="12" borderId="17" xfId="0" applyNumberFormat="1" applyFont="1" applyFill="1" applyBorder="1"/>
    <x:xf numFmtId="0" fontId="23" fillId="12" borderId="18" xfId="0" applyNumberFormat="1" applyFont="1" applyFill="1" applyBorder="1"/>
    <x:xf numFmtId="0" fontId="23" fillId="12" borderId="19" xfId="0" applyNumberFormat="1" applyFont="1" applyFill="1" applyBorder="1"/>
    <x:xf numFmtId="0" fontId="23" fillId="12" borderId="2" xfId="0" applyNumberFormat="1" applyFont="1" applyFill="1" applyBorder="1"/>
    <x:xf numFmtId="0" fontId="23" fillId="12" borderId="20" xfId="0" applyNumberFormat="1" applyFont="1" applyFill="1" applyBorder="1"/>
    <x:xf numFmtId="0" fontId="23" fillId="12" borderId="16" xfId="0" applyNumberFormat="1" applyFont="1" applyFill="1" applyBorder="1" applyAlignment="1">
      <x:alignment horizontal="center"/>
    </x:xf>
    <x:xf numFmtId="0" fontId="23" fillId="12" borderId="17" xfId="0" applyNumberFormat="1" applyFont="1" applyFill="1" applyBorder="1" applyAlignment="1">
      <x:alignment horizontal="center"/>
    </x:xf>
    <x:xf numFmtId="0" fontId="23" fillId="12" borderId="18" xfId="0" applyNumberFormat="1" applyFont="1" applyFill="1" applyBorder="1" applyAlignment="1">
      <x:alignment horizontal="center"/>
    </x:xf>
    <x:xf numFmtId="0" fontId="23" fillId="12" borderId="19" xfId="0" applyNumberFormat="1" applyFont="1" applyFill="1" applyBorder="1" applyAlignment="1">
      <x:alignment horizontal="center"/>
    </x:xf>
    <x:xf numFmtId="0" fontId="23" fillId="12" borderId="2" xfId="0" applyNumberFormat="1" applyFont="1" applyFill="1" applyBorder="1" applyAlignment="1">
      <x:alignment horizontal="center"/>
    </x:xf>
    <x:xf numFmtId="0" fontId="23" fillId="12" borderId="20" xfId="0" applyNumberFormat="1" applyFont="1" applyFill="1" applyBorder="1" applyAlignment="1">
      <x:alignment horizontal="center"/>
    </x:xf>
    <x:xf numFmtId="0" fontId="23" fillId="12" borderId="16" xfId="0" applyNumberFormat="1" applyFont="1" applyFill="1" applyBorder="1" applyAlignment="1">
      <x:alignment horizontal="center" vertical="center"/>
    </x:xf>
    <x:xf numFmtId="0" fontId="23" fillId="12" borderId="17" xfId="0" applyNumberFormat="1" applyFont="1" applyFill="1" applyBorder="1" applyAlignment="1">
      <x:alignment horizontal="center" vertical="center"/>
    </x:xf>
    <x:xf numFmtId="0" fontId="23" fillId="12" borderId="18" xfId="0" applyNumberFormat="1" applyFont="1" applyFill="1" applyBorder="1" applyAlignment="1">
      <x:alignment horizontal="center" vertical="center"/>
    </x:xf>
    <x:xf numFmtId="0" fontId="23" fillId="12" borderId="19" xfId="0" applyNumberFormat="1" applyFont="1" applyFill="1" applyBorder="1" applyAlignment="1">
      <x:alignment horizontal="center" vertical="center"/>
    </x:xf>
    <x:xf numFmtId="0" fontId="23" fillId="12" borderId="2" xfId="0" applyNumberFormat="1" applyFont="1" applyFill="1" applyBorder="1" applyAlignment="1">
      <x:alignment horizontal="center" vertical="center"/>
    </x:xf>
    <x:xf numFmtId="0" fontId="23" fillId="12" borderId="20" xfId="0" applyNumberFormat="1" applyFont="1" applyFill="1" applyBorder="1" applyAlignment="1">
      <x:alignment horizontal="center" vertical="center"/>
    </x:xf>
    <x:xf numFmtId="0" fontId="0" fillId="13" borderId="0" xfId="0" applyNumberFormat="1" applyFont="1" applyFill="1" applyBorder="1"/>
    <x:xf numFmtId="0" fontId="23" fillId="13" borderId="0" xfId="0" applyNumberFormat="1" applyFont="1" applyFill="1" applyBorder="1"/>
    <x:xf numFmtId="0" fontId="23" fillId="13" borderId="16" xfId="0" applyNumberFormat="1" applyFont="1" applyFill="1" applyBorder="1"/>
    <x:xf numFmtId="0" fontId="23" fillId="13" borderId="17" xfId="0" applyNumberFormat="1" applyFont="1" applyFill="1" applyBorder="1"/>
    <x:xf numFmtId="0" fontId="23" fillId="13" borderId="18" xfId="0" applyNumberFormat="1" applyFont="1" applyFill="1" applyBorder="1"/>
    <x:xf numFmtId="0" fontId="23" fillId="13" borderId="19" xfId="0" applyNumberFormat="1" applyFont="1" applyFill="1" applyBorder="1"/>
    <x:xf numFmtId="0" fontId="23" fillId="13" borderId="2" xfId="0" applyNumberFormat="1" applyFont="1" applyFill="1" applyBorder="1"/>
    <x:xf numFmtId="0" fontId="23" fillId="13" borderId="20" xfId="0" applyNumberFormat="1" applyFont="1" applyFill="1" applyBorder="1"/>
    <x:xf numFmtId="0" fontId="23" fillId="13" borderId="16" xfId="0" applyNumberFormat="1" applyFont="1" applyFill="1" applyBorder="1" applyAlignment="1">
      <x:alignment horizontal="center"/>
    </x:xf>
    <x:xf numFmtId="0" fontId="23" fillId="13" borderId="17" xfId="0" applyNumberFormat="1" applyFont="1" applyFill="1" applyBorder="1" applyAlignment="1">
      <x:alignment horizontal="center"/>
    </x:xf>
    <x:xf numFmtId="0" fontId="23" fillId="13" borderId="18" xfId="0" applyNumberFormat="1" applyFont="1" applyFill="1" applyBorder="1" applyAlignment="1">
      <x:alignment horizontal="center"/>
    </x:xf>
    <x:xf numFmtId="0" fontId="23" fillId="13" borderId="19" xfId="0" applyNumberFormat="1" applyFont="1" applyFill="1" applyBorder="1" applyAlignment="1">
      <x:alignment horizontal="center"/>
    </x:xf>
    <x:xf numFmtId="0" fontId="23" fillId="13" borderId="2" xfId="0" applyNumberFormat="1" applyFont="1" applyFill="1" applyBorder="1" applyAlignment="1">
      <x:alignment horizontal="center"/>
    </x:xf>
    <x:xf numFmtId="0" fontId="23" fillId="13" borderId="20" xfId="0" applyNumberFormat="1" applyFont="1" applyFill="1" applyBorder="1" applyAlignment="1">
      <x:alignment horizontal="center"/>
    </x:xf>
    <x:xf numFmtId="0" fontId="23" fillId="13" borderId="16" xfId="0" applyNumberFormat="1" applyFont="1" applyFill="1" applyBorder="1" applyAlignment="1">
      <x:alignment horizontal="center" vertical="center"/>
    </x:xf>
    <x:xf numFmtId="0" fontId="23" fillId="13" borderId="17" xfId="0" applyNumberFormat="1" applyFont="1" applyFill="1" applyBorder="1" applyAlignment="1">
      <x:alignment horizontal="center" vertical="center"/>
    </x:xf>
    <x:xf numFmtId="0" fontId="23" fillId="13" borderId="18" xfId="0" applyNumberFormat="1" applyFont="1" applyFill="1" applyBorder="1" applyAlignment="1">
      <x:alignment horizontal="center" vertical="center"/>
    </x:xf>
    <x:xf numFmtId="0" fontId="23" fillId="13" borderId="19" xfId="0" applyNumberFormat="1" applyFont="1" applyFill="1" applyBorder="1" applyAlignment="1">
      <x:alignment horizontal="center" vertical="center"/>
    </x:xf>
    <x:xf numFmtId="0" fontId="23" fillId="13" borderId="2" xfId="0" applyNumberFormat="1" applyFont="1" applyFill="1" applyBorder="1" applyAlignment="1">
      <x:alignment horizontal="center" vertical="center"/>
    </x:xf>
    <x:xf numFmtId="0" fontId="23" fillId="13" borderId="20" xfId="0" applyNumberFormat="1" applyFont="1" applyFill="1" applyBorder="1" applyAlignment="1">
      <x:alignment horizontal="center" vertical="center"/>
    </x:xf>
    <x:xf numFmtId="0" fontId="0" fillId="14" borderId="0" xfId="0" applyNumberFormat="1" applyFont="1" applyFill="1" applyBorder="1"/>
    <x:xf numFmtId="0" fontId="23" fillId="14" borderId="0" xfId="0" applyNumberFormat="1" applyFont="1" applyFill="1" applyBorder="1"/>
    <x:xf numFmtId="0" fontId="23" fillId="14" borderId="16" xfId="0" applyNumberFormat="1" applyFont="1" applyFill="1" applyBorder="1"/>
    <x:xf numFmtId="0" fontId="23" fillId="14" borderId="17" xfId="0" applyNumberFormat="1" applyFont="1" applyFill="1" applyBorder="1"/>
    <x:xf numFmtId="0" fontId="23" fillId="14" borderId="18" xfId="0" applyNumberFormat="1" applyFont="1" applyFill="1" applyBorder="1"/>
    <x:xf numFmtId="0" fontId="23" fillId="14" borderId="19" xfId="0" applyNumberFormat="1" applyFont="1" applyFill="1" applyBorder="1"/>
    <x:xf numFmtId="0" fontId="23" fillId="14" borderId="2" xfId="0" applyNumberFormat="1" applyFont="1" applyFill="1" applyBorder="1"/>
    <x:xf numFmtId="0" fontId="23" fillId="14" borderId="20" xfId="0" applyNumberFormat="1" applyFont="1" applyFill="1" applyBorder="1"/>
    <x:xf numFmtId="0" fontId="23" fillId="14" borderId="16" xfId="0" applyNumberFormat="1" applyFont="1" applyFill="1" applyBorder="1" applyAlignment="1">
      <x:alignment horizontal="center"/>
    </x:xf>
    <x:xf numFmtId="0" fontId="23" fillId="14" borderId="17" xfId="0" applyNumberFormat="1" applyFont="1" applyFill="1" applyBorder="1" applyAlignment="1">
      <x:alignment horizontal="center"/>
    </x:xf>
    <x:xf numFmtId="0" fontId="23" fillId="14" borderId="18" xfId="0" applyNumberFormat="1" applyFont="1" applyFill="1" applyBorder="1" applyAlignment="1">
      <x:alignment horizontal="center"/>
    </x:xf>
    <x:xf numFmtId="0" fontId="23" fillId="14" borderId="19" xfId="0" applyNumberFormat="1" applyFont="1" applyFill="1" applyBorder="1" applyAlignment="1">
      <x:alignment horizontal="center"/>
    </x:xf>
    <x:xf numFmtId="0" fontId="23" fillId="14" borderId="2" xfId="0" applyNumberFormat="1" applyFont="1" applyFill="1" applyBorder="1" applyAlignment="1">
      <x:alignment horizontal="center"/>
    </x:xf>
    <x:xf numFmtId="0" fontId="23" fillId="14" borderId="20" xfId="0" applyNumberFormat="1" applyFont="1" applyFill="1" applyBorder="1" applyAlignment="1">
      <x:alignment horizontal="center"/>
    </x:xf>
    <x:xf numFmtId="0" fontId="23" fillId="14" borderId="16" xfId="0" applyNumberFormat="1" applyFont="1" applyFill="1" applyBorder="1" applyAlignment="1">
      <x:alignment horizontal="center" vertical="center"/>
    </x:xf>
    <x:xf numFmtId="0" fontId="23" fillId="14" borderId="17" xfId="0" applyNumberFormat="1" applyFont="1" applyFill="1" applyBorder="1" applyAlignment="1">
      <x:alignment horizontal="center" vertical="center"/>
    </x:xf>
    <x:xf numFmtId="0" fontId="23" fillId="14" borderId="18" xfId="0" applyNumberFormat="1" applyFont="1" applyFill="1" applyBorder="1" applyAlignment="1">
      <x:alignment horizontal="center" vertical="center"/>
    </x:xf>
    <x:xf numFmtId="0" fontId="23" fillId="14" borderId="19" xfId="0" applyNumberFormat="1" applyFont="1" applyFill="1" applyBorder="1" applyAlignment="1">
      <x:alignment horizontal="center" vertical="center"/>
    </x:xf>
    <x:xf numFmtId="0" fontId="23" fillId="14" borderId="2" xfId="0" applyNumberFormat="1" applyFont="1" applyFill="1" applyBorder="1" applyAlignment="1">
      <x:alignment horizontal="center" vertical="center"/>
    </x:xf>
    <x:xf numFmtId="0" fontId="23" fillId="14" borderId="20" xfId="0" applyNumberFormat="1" applyFont="1" applyFill="1" applyBorder="1" applyAlignment="1">
      <x:alignment horizontal="center" vertical="center"/>
    </x:xf>
    <x:xf numFmtId="0" fontId="0" fillId="15" borderId="0" xfId="0" applyNumberFormat="1" applyFont="1" applyFill="1" applyBorder="1"/>
    <x:xf numFmtId="0" fontId="9" fillId="15" borderId="0" xfId="0" applyNumberFormat="1" applyFont="1" applyFill="1" applyBorder="1"/>
    <x:xf numFmtId="0" fontId="9" fillId="15" borderId="0" xfId="0" applyNumberFormat="1" applyFont="1" applyFill="1" applyBorder="1" applyAlignment="1">
      <x:alignment wrapText="1"/>
    </x:xf>
    <x:xf numFmtId="0" fontId="9" fillId="15" borderId="0" xfId="0" applyNumberFormat="1" applyFont="1" applyFill="1" applyBorder="1" applyAlignment="1">
      <x:alignment horizontal="center" wrapText="1"/>
    </x:xf>
    <x:xf numFmtId="0" fontId="9" fillId="15"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left" vertical="top" wrapText="1"/>
    </x:xf>
    <x:xf numFmtId="0" fontId="24" fillId="0" borderId="0" xfId="0" applyNumberFormat="1" applyFont="1" applyFill="1" applyBorder="1" applyAlignment="1">
      <x:alignment horizontal="center" vertical="top" wrapText="1"/>
    </x:xf>
    <x:xf numFmtId="0" fontId="25" fillId="0" borderId="0" xfId="0" applyNumberFormat="1" applyFont="1" applyFill="1" applyBorder="1" applyAlignment="1">
      <x:alignment horizontal="center" vertical="top" wrapText="1"/>
    </x:xf>
    <x:xf numFmtId="0" fontId="26" fillId="0" borderId="0" xfId="0" applyNumberFormat="1" applyFont="1" applyFill="1" applyBorder="1" applyAlignment="1">
      <x:alignment horizontal="left" vertical="top" wrapText="1"/>
    </x:xf>
    <x:xf numFmtId="0" fontId="26" fillId="0" borderId="0" xfId="0" applyNumberFormat="1" applyFont="1" applyFill="1" applyBorder="1"/>
    <x:xf numFmtId="0" fontId="25" fillId="0" borderId="0" xfId="0" applyNumberFormat="1" applyFont="1" applyFill="1" applyBorder="1"/>
    <x:xf numFmtId="209" fontId="23" fillId="12" borderId="16" xfId="0" applyNumberFormat="1" applyFont="1" applyFill="1" applyBorder="1" applyAlignment="1">
      <x:alignment horizontal="center" vertical="center"/>
    </x:xf>
    <x:xf numFmtId="202" fontId="23" fillId="14" borderId="16" xfId="0" applyNumberFormat="1" applyFont="1" applyFill="1" applyBorder="1" applyAlignment="1">
      <x:alignment horizontal="center" vertical="center"/>
    </x:xf>
    <x:xf numFmtId="210" fontId="24" fillId="0" borderId="0" xfId="0" applyNumberFormat="1" applyFont="1" applyFill="1" applyBorder="1" applyAlignment="1">
      <x:alignment horizontal="center" vertical="top" wrapText="1"/>
    </x:xf>
    <x:xf numFmtId="209" fontId="24" fillId="0" borderId="0" xfId="0" applyNumberFormat="1" applyFont="1" applyFill="1" applyBorder="1" applyAlignment="1">
      <x:alignment horizontal="center" vertical="top" wrapText="1"/>
    </x:xf>
    <x:xf numFmtId="209" fontId="25" fillId="0" borderId="0" xfId="0" applyNumberFormat="1" applyFont="1" applyFill="1" applyBorder="1" applyAlignment="1">
      <x:alignment horizontal="center" vertical="top" wrapText="1"/>
    </x:xf>
    <x:xf numFmtId="202" fontId="26" fillId="0" borderId="0" xfId="0" applyNumberFormat="1" applyFont="1" applyFill="1" applyBorder="1"/>
    <x:xf numFmtId="200" fontId="26" fillId="0" borderId="0" xfId="0" applyNumberFormat="1" applyFont="1" applyFill="1" applyBorder="1"/>
    <x:xf numFmtId="0" fontId="0" fillId="14" borderId="0" xfId="0" applyNumberFormat="1" applyFont="1" applyFill="1" applyBorder="1" applyAlignment="1">
      <x:alignment horizontal="left" vertical="top" wrapText="1"/>
    </x:xf>
    <x:xf numFmtId="0" fontId="0" fillId="13" borderId="0" xfId="0" applyNumberFormat="1" applyFont="1" applyFill="1" applyBorder="1" applyAlignment="1">
      <x:alignment horizontal="left" vertical="top" wrapText="1"/>
    </x:xf>
    <x:xf numFmtId="0" fontId="0" fillId="16" borderId="0" xfId="0" applyNumberFormat="1" applyFont="1" applyFill="1" applyBorder="1" applyAlignment="1">
      <x:alignment horizontal="left" vertical="top" wrapText="1"/>
    </x:xf>
    <x:xf numFmtId="0" fontId="12" fillId="14" borderId="0" xfId="0" applyNumberFormat="1" applyFont="1" applyFill="1" applyBorder="1" applyAlignment="1">
      <x:alignment horizontal="left" vertical="top" wrapText="1"/>
    </x:xf>
    <x:xf numFmtId="0" fontId="12" fillId="13" borderId="0" xfId="0" applyNumberFormat="1" applyFont="1" applyFill="1" applyBorder="1" applyAlignment="1">
      <x:alignment horizontal="left" vertical="top" wrapText="1"/>
    </x:xf>
    <x:xf numFmtId="0" fontId="12" fillId="16" borderId="0" xfId="0" applyNumberFormat="1" applyFont="1" applyFill="1" applyBorder="1" applyAlignment="1">
      <x:alignment horizontal="left" vertical="top" wrapText="1"/>
    </x:xf>
    <x:xf numFmtId="0" fontId="12" fillId="14" borderId="0" xfId="0" applyNumberFormat="1" applyFont="1" applyFill="1" applyBorder="1" applyAlignment="1">
      <x:alignment horizontal="center" vertical="top" wrapText="1"/>
    </x:xf>
    <x:xf numFmtId="0" fontId="12" fillId="13"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top" wrapText="1"/>
    </x:xf>
    <x:xf numFmtId="202" fontId="26" fillId="12" borderId="0" xfId="0" applyNumberFormat="1" applyFont="1" applyFill="1" applyBorder="1"/>
    <x:xf numFmtId="200" fontId="26" fillId="12" borderId="0" xfId="0" applyNumberFormat="1" applyFont="1" applyFill="1" applyBorder="1"/>
    <x:xf numFmtId="0" fontId="0" fillId="12" xfId="0" applyNumberFormat="1" applyFont="1" applyFill="1" applyBorder="0"/>
    <x:xf numFmtId="202" fontId="26" fillId="12" xfId="0" applyNumberFormat="1" applyFont="1" applyFill="1" applyBorder="0"/>
    <x:xf numFmtId="200" fontId="26" fillId="12" xfId="0" applyNumberFormat="1" applyFont="1" applyFill="1" applyBorder="0"/>
    <x:xf numFmtId="0" fontId="0" fillId="12" borderId="32" xfId="0" applyNumberFormat="1" applyFont="1" applyFill="1" applyBorder="1"/>
    <x:xf numFmtId="202" fontId="26" fillId="12" borderId="32" xfId="0" applyNumberFormat="1" applyFont="1" applyFill="1" applyBorder="1"/>
    <x:xf numFmtId="200" fontId="26" fillId="12" borderId="32" xfId="0" applyNumberFormat="1" applyFont="1" applyFill="1" applyBorder="1"/>
    <x:xf numFmtId="0" fontId="0" fillId="12" xfId="0" applyNumberFormat="1" applyFont="1" applyFill="1" applyBorder="0" applyAlignment="1">
      <x:alignment wrapText="1"/>
    </x:xf>
    <x:xf numFmtId="202" fontId="26" fillId="12" xfId="0" applyNumberFormat="1" applyFont="1" applyFill="1" applyBorder="0" applyAlignment="1">
      <x:alignment wrapText="1"/>
    </x:xf>
    <x:xf numFmtId="200" fontId="26" fillId="12" xfId="0" applyNumberFormat="1" applyFont="1" applyFill="1" applyBorder="0" applyAlignment="1">
      <x:alignment wrapText="1"/>
    </x:xf>
    <x:xf numFmtId="0" fontId="0" fillId="12" borderId="32" xfId="0" applyNumberFormat="1" applyFont="1" applyFill="1" applyBorder="1" applyAlignment="1">
      <x:alignment wrapText="1"/>
    </x:xf>
    <x:xf numFmtId="202" fontId="26" fillId="12" borderId="32" xfId="0" applyNumberFormat="1" applyFont="1" applyFill="1" applyBorder="1" applyAlignment="1">
      <x:alignment wrapText="1"/>
    </x:xf>
    <x:xf numFmtId="200" fontId="26" fillId="12" borderId="32" xfId="0" applyNumberFormat="1" applyFont="1" applyFill="1" applyBorder="1" applyAlignment="1">
      <x:alignment wrapText="1"/>
    </x:xf>
    <x:xf numFmtId="0" fontId="0" fillId="12" xfId="0" applyNumberFormat="1" applyFont="1" applyFill="1" applyBorder="0" applyAlignment="1">
      <x:alignment vertical="center" wrapText="1"/>
    </x:xf>
    <x:xf numFmtId="202" fontId="26" fillId="12" xfId="0" applyNumberFormat="1" applyFont="1" applyFill="1" applyBorder="0" applyAlignment="1">
      <x:alignment vertical="center" wrapText="1"/>
    </x:xf>
    <x:xf numFmtId="200" fontId="26" fillId="12" xfId="0" applyNumberFormat="1" applyFont="1" applyFill="1" applyBorder="0" applyAlignment="1">
      <x:alignment vertical="center" wrapText="1"/>
    </x:xf>
    <x:xf numFmtId="0" fontId="0" fillId="12" borderId="32" xfId="0" applyNumberFormat="1" applyFont="1" applyFill="1" applyBorder="1" applyAlignment="1">
      <x:alignment vertical="center" wrapText="1"/>
    </x:xf>
    <x:xf numFmtId="202" fontId="26" fillId="12" borderId="32" xfId="0" applyNumberFormat="1" applyFont="1" applyFill="1" applyBorder="1" applyAlignment="1">
      <x:alignment vertical="center" wrapText="1"/>
    </x:xf>
    <x:xf numFmtId="200" fontId="26" fillId="12" borderId="32" xfId="0" applyNumberFormat="1" applyFont="1" applyFill="1" applyBorder="1" applyAlignment="1">
      <x:alignment vertical="center" wrapText="1"/>
    </x:xf>
    <x:xf numFmtId="0" fontId="25" fillId="13" borderId="0" xfId="0" applyNumberFormat="1" applyFont="1" applyFill="1" applyBorder="1"/>
    <x:xf numFmtId="0" fontId="27" fillId="13" borderId="0" xfId="0" applyNumberFormat="1" applyFont="1" applyFill="1" applyBorder="1"/>
    <x:xf numFmtId="0" fontId="27" fillId="13" borderId="0" xfId="0" applyNumberFormat="1" applyFont="1" applyFill="1" applyBorder="1" applyAlignment="1">
      <x:alignment wrapText="1"/>
    </x:xf>
    <x:xf numFmtId="0" fontId="27" fillId="13" borderId="0" xfId="0" applyNumberFormat="1" applyFont="1" applyFill="1" applyBorder="1" applyAlignment="1">
      <x:alignment vertical="center" wrapText="1"/>
    </x:xf>
    <x:xf numFmtId="0" fontId="0" fillId="12" borderId="0" xfId="0" applyNumberFormat="1" applyFont="1" applyFill="1" applyBorder="1" applyAlignment="1">
      <x:alignment wrapText="1"/>
    </x:xf>
    <x:xf numFmtId="0" fontId="0" fillId="12" borderId="0" xfId="0" applyNumberFormat="1" applyFont="1" applyFill="1" applyBorder="1" applyAlignment="1">
      <x:alignment vertical="top" wrapText="1"/>
    </x:xf>
    <x:xf numFmtId="0" fontId="12" fillId="13" borderId="0" xfId="0" applyNumberFormat="1" applyFont="1" applyFill="1" applyBorder="1"/>
    <x:xf numFmtId="0" fontId="12" fillId="13" borderId="0" xfId="0" applyNumberFormat="1" applyFont="1" applyFill="1" applyBorder="1" applyAlignment="1">
      <x:alignment wrapText="1"/>
    </x:xf>
    <x:xf numFmtId="0" fontId="12" fillId="13" borderId="0" xfId="0" applyNumberFormat="1" applyFont="1" applyFill="1" applyBorder="1" applyAlignment="1">
      <x:alignment vertical="center" wrapText="1"/>
    </x:xf>
    <x:xf numFmtId="0" fontId="16" fillId="10" borderId="0" xfId="0" applyNumberFormat="1" applyFont="1" applyFill="1" applyBorder="1" applyAlignment="1">
      <x:alignment vertical="center" wrapText="1"/>
    </x:xf>
    <x:xf numFmtId="0" fontId="5" fillId="10" borderId="0" xfId="0" applyNumberFormat="1" applyFont="1" applyFill="1" applyBorder="1" applyAlignment="1">
      <x:alignment vertical="center" wrapText="1"/>
    </x:xf>
    <x:xf numFmtId="0" fontId="5" fillId="10" borderId="0" xfId="0" applyNumberFormat="1" applyFont="1" applyFill="1" applyBorder="1" applyAlignment="1">
      <x:alignment horizontal="left" vertical="center" wrapText="1"/>
    </x:xf>
    <x:xf numFmtId="0" fontId="9" fillId="15" borderId="0" xfId="0" applyNumberFormat="1" applyFont="1" applyFill="1" applyBorder="1" applyAlignment="1">
      <x:alignment horizontal="center"/>
    </x:xf>
    <x:xf numFmtId="0" fontId="28" fillId="12" borderId="0" xfId="0" applyNumberFormat="1" applyFont="1" applyFill="1" applyBorder="1"/>
    <x:xf numFmtId="0" fontId="28" fillId="12" borderId="0" xfId="0" applyNumberFormat="1" applyFont="1" applyFill="1" applyBorder="1" applyAlignment="1">
      <x:alignment horizontal="center"/>
    </x:xf>
    <x:xf numFmtId="0" fontId="28" fillId="12" borderId="0" xfId="0" applyNumberFormat="1" applyFont="1" applyFill="1" applyBorder="1" applyAlignment="1">
      <x:alignment horizontal="center" vertical="center"/>
    </x:xf>
    <x:xf numFmtId="0" fontId="28" fillId="14" borderId="0" xfId="0" applyNumberFormat="1" applyFont="1" applyFill="1" applyBorder="1"/>
    <x:xf numFmtId="0" fontId="28" fillId="14" borderId="0" xfId="0" applyNumberFormat="1" applyFont="1" applyFill="1" applyBorder="1" applyAlignment="1">
      <x:alignment horizontal="center"/>
    </x:xf>
    <x:xf numFmtId="0" fontId="28" fillId="14" borderId="0" xfId="0" applyNumberFormat="1" applyFont="1" applyFill="1" applyBorder="1" applyAlignment="1">
      <x:alignment horizontal="center" vertical="center"/>
    </x:xf>
    <x:xf numFmtId="0" fontId="28" fillId="13" borderId="0" xfId="0" applyNumberFormat="1" applyFont="1" applyFill="1" applyBorder="1"/>
    <x:xf numFmtId="0" fontId="28" fillId="13" borderId="0" xfId="0" applyNumberFormat="1" applyFont="1" applyFill="1" applyBorder="1" applyAlignment="1">
      <x:alignment horizontal="center"/>
    </x:xf>
    <x:xf numFmtId="0" fontId="28" fillId="13" borderId="0" xfId="0" applyNumberFormat="1" applyFont="1" applyFill="1" applyBorder="1" applyAlignment="1">
      <x:alignment horizontal="center" vertical="center"/>
    </x:xf>
    <x:xf numFmtId="209" fontId="28" fillId="12" borderId="0" xfId="0" applyNumberFormat="1" applyFont="1" applyFill="1" applyBorder="1" applyAlignment="1">
      <x:alignment horizontal="center" vertical="center"/>
    </x:xf>
    <x:xf numFmtId="202" fontId="28" fillId="14" borderId="0" xfId="0" applyNumberFormat="1" applyFont="1" applyFill="1" applyBorder="1" applyAlignment="1">
      <x:alignment horizontal="center" vertical="center"/>
    </x:xf>
    <x:xf numFmtId="0" fontId="12" fillId="12" xfId="0" applyNumberFormat="1" applyFont="1" applyFill="1" applyBorder="0" applyAlignment="1">
      <x:alignment vertical="center" wrapText="1"/>
    </x:xf>
    <x:xf numFmtId="202" fontId="29" fillId="12" xfId="0" applyNumberFormat="1" applyFont="1" applyFill="1" applyBorder="0" applyAlignment="1">
      <x:alignment vertical="center" wrapText="1"/>
    </x:xf>
    <x:xf numFmtId="0" fontId="29" fillId="12" xfId="0" applyNumberFormat="1" applyFont="1" applyFill="1" applyBorder="0" applyAlignment="1">
      <x:alignment vertical="center" wrapText="1"/>
    </x:xf>
    <x:xf numFmtId="200" fontId="29" fillId="12" xfId="0" applyNumberFormat="1" applyFont="1" applyFill="1" applyBorder="0" applyAlignment="1">
      <x:alignment vertical="center" wrapText="1"/>
    </x:xf>
    <x:xf numFmtId="202" fontId="29" fillId="12" xfId="0" applyNumberFormat="1" applyFont="1" applyFill="1" applyBorder="0" applyAlignment="1">
      <x:alignment horizontal="right" vertical="center" wrapText="1"/>
    </x:xf>
    <x:xf numFmtId="0" fontId="12" fillId="12" borderId="32" xfId="0" applyNumberFormat="1" applyFont="1" applyFill="1" applyBorder="1" applyAlignment="1">
      <x:alignment vertical="center" wrapText="1"/>
    </x:xf>
    <x:xf numFmtId="202" fontId="29" fillId="12" borderId="32" xfId="0" applyNumberFormat="1" applyFont="1" applyFill="1" applyBorder="1" applyAlignment="1">
      <x:alignment vertical="center" wrapText="1"/>
    </x:xf>
    <x:xf numFmtId="0" fontId="29" fillId="12" borderId="32" xfId="0" applyNumberFormat="1" applyFont="1" applyFill="1" applyBorder="1" applyAlignment="1">
      <x:alignment vertical="center" wrapText="1"/>
    </x:xf>
    <x:xf numFmtId="200" fontId="29" fillId="12" borderId="32" xfId="0" applyNumberFormat="1" applyFont="1" applyFill="1" applyBorder="1" applyAlignment="1">
      <x:alignment vertical="center" wrapText="1"/>
    </x:xf>
    <x:xf numFmtId="202" fontId="29" fillId="12" borderId="32" xfId="0" applyNumberFormat="1" applyFont="1" applyFill="1" applyBorder="1" applyAlignment="1">
      <x:alignment horizontal="right" vertical="center" wrapText="1"/>
    </x:xf>
    <x:xf numFmtId="0" fontId="12" fillId="12" borderId="0" xfId="0" applyNumberFormat="1" applyFont="1" applyFill="1" applyBorder="1"/>
    <x:xf numFmtId="0" fontId="27" fillId="12" borderId="0" xfId="0" applyNumberFormat="1" applyFont="1" applyFill="1" applyBorder="1" applyAlignment="1">
      <x:alignment vertical="center" wrapText="1"/>
    </x:xf>
    <x:xf numFmtId="0" fontId="30" fillId="12" borderId="0" xfId="0" applyNumberFormat="1" applyFont="1" applyFill="1" applyBorder="1" applyAlignment="1">
      <x:alignment vertical="center" wrapText="1"/>
    </x:xf>
    <x:xf numFmtId="0" fontId="12" fillId="12" borderId="0" xfId="0" applyNumberFormat="1" applyFont="1" applyFill="1" applyBorder="1" applyAlignment="1">
      <x:alignment wrapText="1"/>
    </x:xf>
    <x:xf numFmtId="0" fontId="12" fillId="12" borderId="0" xfId="0" applyNumberFormat="1" applyFont="1" applyFill="1" applyBorder="1" applyAlignment="1">
      <x:alignment vertical="center" wrapText="1"/>
    </x:xf>
    <x:xf numFmtId="0" fontId="29" fillId="12" borderId="0" xfId="0" applyNumberFormat="1" applyFont="1" applyFill="1" applyBorder="1" applyAlignment="1">
      <x:alignment vertical="center" wrapText="1"/>
    </x:xf>
    <x:xf numFmtId="200" fontId="29" fillId="12" borderId="0" xfId="0" applyNumberFormat="1" applyFont="1" applyFill="1" applyBorder="1" applyAlignment="1">
      <x:alignment vertical="center" wrapText="1"/>
    </x:xf>
    <x:xf numFmtId="200" fontId="29" fillId="12" borderId="0" xfId="0" applyNumberFormat="1" applyFont="1" applyFill="1" applyBorder="1" applyAlignment="1">
      <x:alignment horizontal="right" vertical="center" wrapText="1"/>
    </x:xf>
    <x:xf numFmtId="0" fontId="27" fillId="15" borderId="0" xfId="0" applyNumberFormat="1" applyFont="1" applyFill="1" applyBorder="1" applyAlignment="1">
      <x:alignment vertical="center" wrapText="1"/>
    </x:xf>
    <x:xf numFmtId="0" fontId="9" fillId="15" borderId="0" xfId="0" applyNumberFormat="1" applyFont="1" applyFill="1" applyBorder="1" applyAlignment="1">
      <x:alignment vertical="center" wrapText="1"/>
    </x:xf>
    <x:xf numFmtId="0" fontId="30" fillId="13" borderId="0" xfId="0" applyNumberFormat="1" applyFont="1" applyFill="1" applyBorder="1" applyAlignment="1">
      <x:alignment vertical="center" wrapText="1"/>
    </x:xf>
    <x:xf numFmtId="0" fontId="30" fillId="13" borderId="0" xfId="0" applyNumberFormat="1" applyFont="1" applyFill="1" applyBorder="1" applyAlignment="1">
      <x:alignment horizontal="left" vertical="center" wrapText="1"/>
    </x:xf>
    <x:xf numFmtId="0" fontId="12" fillId="13" borderId="0" xfId="0" applyNumberFormat="1" applyFont="1" applyFill="1" applyBorder="1" applyAlignment="1">
      <x:alignment horizontal="left" wrapText="1"/>
    </x:xf>
    <x:xf numFmtId="0" fontId="12" fillId="13" borderId="0" xfId="0" applyNumberFormat="1" applyFont="1" applyFill="1" applyBorder="1" applyAlignment="1">
      <x:alignment horizontal="left" vertical="center" wrapText="1"/>
    </x:xf>
    <x:xf numFmtId="0" fontId="0"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horizontal="left" vertical="top" wrapText="1"/>
    </x:xf>
    <x:xf numFmtId="0" fontId="9" fillId="10" borderId="0" xfId="0" applyNumberFormat="1" applyFont="1" applyFill="1" applyBorder="1" applyAlignment="1">
      <x:alignment horizontal="left" vertical="center" wrapText="1"/>
    </x:xf>
    <x:xf numFmtId="0" fontId="12" fillId="10" borderId="0" xfId="0" applyNumberFormat="1" applyFont="1" applyFill="1" applyBorder="1" applyAlignment="1">
      <x:alignment vertical="center" wrapText="1"/>
    </x:xf>
    <x:xf numFmtId="0" fontId="9" fillId="10" borderId="0" xfId="0" applyNumberFormat="1" applyFont="1" applyFill="1" applyBorder="1" applyAlignment="1">
      <x:alignment vertical="center" wrapText="1"/>
    </x:xf>
    <x:xf numFmtId="0" fontId="31" fillId="12" borderId="0" xfId="0" applyNumberFormat="1" applyFont="1" applyFill="1" applyBorder="1" applyAlignment="1">
      <x:alignment vertical="top" wrapText="1"/>
    </x:xf>
    <x:xf numFmtId="0" fontId="31" fillId="0" borderId="0" xfId="0" applyNumberFormat="1" applyFont="1" applyFill="1" applyBorder="1"/>
    <x:xf numFmtId="0" fontId="0" fillId="7" borderId="0" xfId="0" applyNumberFormat="1" applyFont="1" applyFill="1" applyBorder="1"/>
    <x:xf numFmtId="0" fontId="22" fillId="7" borderId="0" xfId="0" applyNumberFormat="1" applyFont="1" applyFill="1" applyBorder="1"/>
    <x:xf numFmtId="0" fontId="22" fillId="7" borderId="0" xfId="0" applyNumberFormat="1" applyFont="1" applyFill="1" applyBorder="1" applyAlignment="1">
      <x:alignment horizontal="left"/>
    </x:xf>
    <x:xf numFmtId="0" fontId="22" fillId="7" borderId="0" xfId="0" applyNumberFormat="1" applyFont="1" applyFill="1" applyBorder="1" applyAlignment="1">
      <x:alignment horizontal="left" vertical="center"/>
    </x:xf>
    <x:xf numFmtId="0" fontId="0" fillId="5" borderId="0" xfId="0" applyNumberFormat="1" applyFont="1" applyFill="1" applyBorder="1"/>
    <x:xf numFmtId="0" fontId="23" fillId="5" borderId="0" xfId="0" applyNumberFormat="1" applyFont="1" applyFill="1" applyBorder="1"/>
    <x:xf numFmtId="0" fontId="23" fillId="5" borderId="16" xfId="0" applyNumberFormat="1" applyFont="1" applyFill="1" applyBorder="1"/>
    <x:xf numFmtId="0" fontId="23" fillId="5" borderId="17" xfId="0" applyNumberFormat="1" applyFont="1" applyFill="1" applyBorder="1"/>
    <x:xf numFmtId="0" fontId="23" fillId="5" borderId="18" xfId="0" applyNumberFormat="1" applyFont="1" applyFill="1" applyBorder="1"/>
    <x:xf numFmtId="0" fontId="23" fillId="5" borderId="19" xfId="0" applyNumberFormat="1" applyFont="1" applyFill="1" applyBorder="1"/>
    <x:xf numFmtId="0" fontId="23" fillId="5" borderId="2" xfId="0" applyNumberFormat="1" applyFont="1" applyFill="1" applyBorder="1"/>
    <x:xf numFmtId="0" fontId="23" fillId="5" borderId="20" xfId="0" applyNumberFormat="1" applyFont="1" applyFill="1" applyBorder="1"/>
    <x:xf numFmtId="0" fontId="23" fillId="5" borderId="16" xfId="0" applyNumberFormat="1" applyFont="1" applyFill="1" applyBorder="1" applyAlignment="1">
      <x:alignment horizontal="center"/>
    </x:xf>
    <x:xf numFmtId="0" fontId="23" fillId="5" borderId="17" xfId="0" applyNumberFormat="1" applyFont="1" applyFill="1" applyBorder="1" applyAlignment="1">
      <x:alignment horizontal="center"/>
    </x:xf>
    <x:xf numFmtId="0" fontId="23" fillId="5" borderId="18" xfId="0" applyNumberFormat="1" applyFont="1" applyFill="1" applyBorder="1" applyAlignment="1">
      <x:alignment horizontal="center"/>
    </x:xf>
    <x:xf numFmtId="0" fontId="23" fillId="5" borderId="19" xfId="0" applyNumberFormat="1" applyFont="1" applyFill="1" applyBorder="1" applyAlignment="1">
      <x:alignment horizontal="center"/>
    </x:xf>
    <x:xf numFmtId="0" fontId="23" fillId="5" borderId="2" xfId="0" applyNumberFormat="1" applyFont="1" applyFill="1" applyBorder="1" applyAlignment="1">
      <x:alignment horizontal="center"/>
    </x:xf>
    <x:xf numFmtId="0" fontId="23" fillId="5" borderId="20" xfId="0" applyNumberFormat="1" applyFont="1" applyFill="1" applyBorder="1" applyAlignment="1">
      <x:alignment horizontal="center"/>
    </x:xf>
    <x:xf numFmtId="0" fontId="23" fillId="5" borderId="16" xfId="0" applyNumberFormat="1" applyFont="1" applyFill="1" applyBorder="1" applyAlignment="1">
      <x:alignment horizontal="center" vertical="center"/>
    </x:xf>
    <x:xf numFmtId="0" fontId="23" fillId="5" borderId="17" xfId="0" applyNumberFormat="1" applyFont="1" applyFill="1" applyBorder="1" applyAlignment="1">
      <x:alignment horizontal="center" vertical="center"/>
    </x:xf>
    <x:xf numFmtId="0" fontId="23" fillId="5" borderId="18" xfId="0" applyNumberFormat="1" applyFont="1" applyFill="1" applyBorder="1" applyAlignment="1">
      <x:alignment horizontal="center" vertical="center"/>
    </x:xf>
    <x:xf numFmtId="0" fontId="23" fillId="5" borderId="19" xfId="0" applyNumberFormat="1" applyFont="1" applyFill="1" applyBorder="1" applyAlignment="1">
      <x:alignment horizontal="center" vertical="center"/>
    </x:xf>
    <x:xf numFmtId="0" fontId="23" fillId="5" borderId="2" xfId="0" applyNumberFormat="1" applyFont="1" applyFill="1" applyBorder="1" applyAlignment="1">
      <x:alignment horizontal="center" vertical="center"/>
    </x:xf>
    <x:xf numFmtId="0" fontId="23" fillId="5" borderId="20" xfId="0" applyNumberFormat="1" applyFont="1" applyFill="1" applyBorder="1" applyAlignment="1">
      <x:alignment horizontal="center" vertical="center"/>
    </x:xf>
    <x:xf numFmtId="0" fontId="0" fillId="9" borderId="0" xfId="0" applyNumberFormat="1" applyFont="1" applyFill="1" applyBorder="1"/>
    <x:xf numFmtId="0" fontId="23" fillId="9" borderId="0" xfId="0" applyNumberFormat="1" applyFont="1" applyFill="1" applyBorder="1"/>
    <x:xf numFmtId="0" fontId="23" fillId="9" borderId="16" xfId="0" applyNumberFormat="1" applyFont="1" applyFill="1" applyBorder="1"/>
    <x:xf numFmtId="0" fontId="23" fillId="9" borderId="17" xfId="0" applyNumberFormat="1" applyFont="1" applyFill="1" applyBorder="1"/>
    <x:xf numFmtId="0" fontId="23" fillId="9" borderId="18" xfId="0" applyNumberFormat="1" applyFont="1" applyFill="1" applyBorder="1"/>
    <x:xf numFmtId="0" fontId="23" fillId="9" borderId="19" xfId="0" applyNumberFormat="1" applyFont="1" applyFill="1" applyBorder="1"/>
    <x:xf numFmtId="0" fontId="23" fillId="9" borderId="2" xfId="0" applyNumberFormat="1" applyFont="1" applyFill="1" applyBorder="1"/>
    <x:xf numFmtId="0" fontId="23" fillId="9" borderId="20" xfId="0" applyNumberFormat="1" applyFont="1" applyFill="1" applyBorder="1"/>
    <x:xf numFmtId="0" fontId="23" fillId="9" borderId="16" xfId="0" applyNumberFormat="1" applyFont="1" applyFill="1" applyBorder="1" applyAlignment="1">
      <x:alignment horizontal="center"/>
    </x:xf>
    <x:xf numFmtId="0" fontId="23" fillId="9" borderId="17" xfId="0" applyNumberFormat="1" applyFont="1" applyFill="1" applyBorder="1" applyAlignment="1">
      <x:alignment horizontal="center"/>
    </x:xf>
    <x:xf numFmtId="0" fontId="23" fillId="9" borderId="18" xfId="0" applyNumberFormat="1" applyFont="1" applyFill="1" applyBorder="1" applyAlignment="1">
      <x:alignment horizontal="center"/>
    </x:xf>
    <x:xf numFmtId="0" fontId="23" fillId="9" borderId="19" xfId="0" applyNumberFormat="1" applyFont="1" applyFill="1" applyBorder="1" applyAlignment="1">
      <x:alignment horizontal="center"/>
    </x:xf>
    <x:xf numFmtId="0" fontId="23" fillId="9" borderId="2" xfId="0" applyNumberFormat="1" applyFont="1" applyFill="1" applyBorder="1" applyAlignment="1">
      <x:alignment horizontal="center"/>
    </x:xf>
    <x:xf numFmtId="0" fontId="23" fillId="9" borderId="20" xfId="0" applyNumberFormat="1" applyFont="1" applyFill="1" applyBorder="1" applyAlignment="1">
      <x:alignment horizontal="center"/>
    </x:xf>
    <x:xf numFmtId="0" fontId="23" fillId="9" borderId="16" xfId="0" applyNumberFormat="1" applyFont="1" applyFill="1" applyBorder="1" applyAlignment="1">
      <x:alignment horizontal="center" vertical="center"/>
    </x:xf>
    <x:xf numFmtId="0" fontId="23" fillId="9" borderId="17" xfId="0" applyNumberFormat="1" applyFont="1" applyFill="1" applyBorder="1" applyAlignment="1">
      <x:alignment horizontal="center" vertical="center"/>
    </x:xf>
    <x:xf numFmtId="0" fontId="23" fillId="9" borderId="18" xfId="0" applyNumberFormat="1" applyFont="1" applyFill="1" applyBorder="1" applyAlignment="1">
      <x:alignment horizontal="center" vertical="center"/>
    </x:xf>
    <x:xf numFmtId="0" fontId="23" fillId="9" borderId="19" xfId="0" applyNumberFormat="1" applyFont="1" applyFill="1" applyBorder="1" applyAlignment="1">
      <x:alignment horizontal="center" vertical="center"/>
    </x:xf>
    <x:xf numFmtId="0" fontId="23" fillId="9" borderId="2" xfId="0" applyNumberFormat="1" applyFont="1" applyFill="1" applyBorder="1" applyAlignment="1">
      <x:alignment horizontal="center" vertical="center"/>
    </x:xf>
    <x:xf numFmtId="0" fontId="23" fillId="9" borderId="20" xfId="0" applyNumberFormat="1" applyFont="1" applyFill="1" applyBorder="1" applyAlignment="1">
      <x:alignment horizontal="center" vertical="center"/>
    </x:xf>
    <x:xf numFmtId="202" fontId="23" fillId="9" borderId="16" xfId="0" applyNumberFormat="1" applyFont="1" applyFill="1" applyBorder="1" applyAlignment="1">
      <x:alignment horizontal="center" vertical="center"/>
    </x:xf>
    <x:xf numFmtId="0" fontId="0" fillId="9" borderId="0" xfId="0" applyNumberFormat="1" applyFont="1" applyFill="1" applyBorder="1" applyAlignment="1">
      <x:alignment horizontal="left" vertical="top" wrapText="1"/>
    </x:xf>
    <x:xf numFmtId="0" fontId="0" fillId="5" borderId="0" xfId="0" applyNumberFormat="1" applyFont="1" applyFill="1" applyBorder="1" applyAlignment="1">
      <x:alignment horizontal="left" vertical="top" wrapText="1"/>
    </x:xf>
    <x:xf numFmtId="0" fontId="12" fillId="9" borderId="0" xfId="0" applyNumberFormat="1" applyFont="1" applyFill="1" applyBorder="1" applyAlignment="1">
      <x:alignment horizontal="left" vertical="top" wrapText="1"/>
    </x:xf>
    <x:xf numFmtId="0" fontId="12" fillId="5" borderId="0" xfId="0" applyNumberFormat="1" applyFont="1" applyFill="1" applyBorder="1" applyAlignment="1">
      <x:alignment horizontal="left" vertical="top" wrapText="1"/>
    </x:xf>
    <x:xf numFmtId="0" fontId="12" fillId="9" borderId="0" xfId="0" applyNumberFormat="1" applyFont="1" applyFill="1" applyBorder="1" applyAlignment="1">
      <x:alignment horizontal="center" vertical="top" wrapText="1"/>
    </x:xf>
    <x:xf numFmtId="0" fontId="12" fillId="5" borderId="0" xfId="0" applyNumberFormat="1" applyFont="1" applyFill="1" applyBorder="1" applyAlignment="1">
      <x:alignment horizontal="center" vertical="top" wrapText="1"/>
    </x:xf>
    <x:xf numFmtId="0" fontId="25" fillId="5" borderId="0" xfId="0" applyNumberFormat="1" applyFont="1" applyFill="1" applyBorder="1"/>
    <x:xf numFmtId="0" fontId="25" fillId="5" borderId="0" xfId="0" applyNumberFormat="1" applyFont="1" applyFill="1" applyBorder="1" applyAlignment="1">
      <x:alignment wrapText="1"/>
    </x:xf>
    <x:xf numFmtId="0" fontId="25" fillId="5" borderId="0" xfId="0" applyNumberFormat="1" applyFont="1" applyFill="1" applyBorder="1" applyAlignment="1">
      <x:alignment vertical="center" wrapText="1"/>
    </x:xf>
    <x:xf numFmtId="0" fontId="12" fillId="5" borderId="0" xfId="0" applyNumberFormat="1" applyFont="1" applyFill="1" applyBorder="1"/>
    <x:xf numFmtId="0" fontId="12" fillId="5" borderId="0" xfId="0" applyNumberFormat="1" applyFont="1" applyFill="1" applyBorder="1" applyAlignment="1">
      <x:alignment wrapText="1"/>
    </x:xf>
    <x:xf numFmtId="0" fontId="12" fillId="5" borderId="0" xfId="0" applyNumberFormat="1" applyFont="1" applyFill="1" applyBorder="1" applyAlignment="1">
      <x:alignment vertical="center" wrapText="1"/>
    </x:xf>
    <x:xf numFmtId="0" fontId="16" fillId="2"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left" vertical="center" wrapText="1"/>
    </x:xf>
    <x:xf numFmtId="0" fontId="28" fillId="9" borderId="0" xfId="0" applyNumberFormat="1" applyFont="1" applyFill="1" applyBorder="1"/>
    <x:xf numFmtId="0" fontId="28" fillId="9" borderId="0" xfId="0" applyNumberFormat="1" applyFont="1" applyFill="1" applyBorder="1" applyAlignment="1">
      <x:alignment horizontal="center"/>
    </x:xf>
    <x:xf numFmtId="0" fontId="28" fillId="9" borderId="0" xfId="0" applyNumberFormat="1" applyFont="1" applyFill="1" applyBorder="1" applyAlignment="1">
      <x:alignment horizontal="center" vertical="center"/>
    </x:xf>
    <x:xf numFmtId="0" fontId="28" fillId="5" borderId="0" xfId="0" applyNumberFormat="1" applyFont="1" applyFill="1" applyBorder="1"/>
    <x:xf numFmtId="0" fontId="28" fillId="5" borderId="0" xfId="0" applyNumberFormat="1" applyFont="1" applyFill="1" applyBorder="1" applyAlignment="1">
      <x:alignment horizontal="center"/>
    </x:xf>
    <x:xf numFmtId="0" fontId="28" fillId="5" borderId="0" xfId="0" applyNumberFormat="1" applyFont="1" applyFill="1" applyBorder="1" applyAlignment="1">
      <x:alignment horizontal="center" vertical="center"/>
    </x:xf>
    <x:xf numFmtId="202" fontId="28" fillId="9" borderId="0" xfId="0" applyNumberFormat="1" applyFont="1" applyFill="1" applyBorder="1" applyAlignment="1">
      <x:alignment horizontal="center" vertical="center"/>
    </x:xf>
    <x:xf numFmtId="0" fontId="25" fillId="12" borderId="0" xfId="0" applyNumberFormat="1" applyFont="1" applyFill="1" applyBorder="1" applyAlignment="1">
      <x:alignment vertical="center" wrapText="1"/>
    </x:xf>
    <x:xf numFmtId="0" fontId="25" fillId="15" borderId="0" xfId="0" applyNumberFormat="1" applyFont="1" applyFill="1" applyBorder="1" applyAlignment="1">
      <x:alignment vertical="center" wrapText="1"/>
    </x:xf>
    <x:xf numFmtId="0" fontId="30" fillId="5" borderId="0" xfId="0" applyNumberFormat="1" applyFont="1" applyFill="1" applyBorder="1" applyAlignment="1">
      <x:alignment vertical="center" wrapText="1"/>
    </x:xf>
    <x:xf numFmtId="0" fontId="30" fillId="5" borderId="0" xfId="0" applyNumberFormat="1" applyFont="1" applyFill="1" applyBorder="1" applyAlignment="1">
      <x:alignment horizontal="left" vertical="center" wrapText="1"/>
    </x:xf>
    <x:xf numFmtId="0" fontId="12" fillId="5" borderId="0" xfId="0" applyNumberFormat="1" applyFont="1" applyFill="1" applyBorder="1" applyAlignment="1">
      <x:alignment horizontal="left" wrapText="1"/>
    </x:xf>
    <x:xf numFmtId="0" fontId="12" fillId="5" borderId="0" xfId="0" applyNumberFormat="1" applyFont="1" applyFill="1" applyBorder="1" applyAlignment="1">
      <x:alignment horizontal="left" vertical="center" wrapText="1"/>
    </x:xf>
    <x:xf numFmtId="0" fontId="0" fillId="2"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9" fillId="2" borderId="0" xfId="0" applyNumberFormat="1" applyFont="1" applyFill="1" applyBorder="1" applyAlignment="1">
      <x:alignment horizontal="left" vertical="top" wrapText="1"/>
    </x:xf>
    <x:xf numFmtId="0" fontId="9" fillId="2" borderId="0" xfId="0" applyNumberFormat="1" applyFont="1" applyFill="1" applyBorder="1" applyAlignment="1">
      <x:alignment horizontal="left" vertical="center" wrapText="1"/>
    </x:xf>
    <x:xf numFmtId="0" fontId="12" fillId="2" borderId="0" xfId="0" applyNumberFormat="1" applyFont="1" applyFill="1" applyBorder="1" applyAlignment="1">
      <x:alignment vertical="center" wrapText="1"/>
    </x:xf>
    <x:xf numFmtId="0" fontId="9" fillId="2"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cellXfs>
  <x:cellStyles count="1">
    <x:cellStyle name="Normal" xfId="0"/>
  </x:cellStyles>
  <x:dxfs count="16">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0440563e964032" /><Relationship Type="http://schemas.openxmlformats.org/officeDocument/2006/relationships/theme" Target="/xl/theme/theme1.xml" Id="Rb3bb3a3dc2c74391" /><Relationship Type="http://schemas.openxmlformats.org/officeDocument/2006/relationships/sharedStrings" Target="/xl/sharedStrings.xml" Id="Rd6a0a7eefce14327" /><Relationship Type="http://schemas.openxmlformats.org/officeDocument/2006/relationships/worksheet" Target="/xl/worksheets/sheet1.xml" Id="Rd421858411084e4a" /><Relationship Type="http://schemas.openxmlformats.org/officeDocument/2006/relationships/worksheet" Target="/xl/worksheets/sheet2.xml" Id="R2cd6c0dfa0ff402f" /><Relationship Type="http://schemas.openxmlformats.org/officeDocument/2006/relationships/worksheet" Target="/xl/worksheets/sheet3.xml" Id="R4a87f550872e436f" /><Relationship Type="http://schemas.openxmlformats.org/officeDocument/2006/relationships/worksheet" Target="/xl/worksheets/sheet4.xml" Id="R2fc182a72bff492f" /><Relationship Type="http://schemas.openxmlformats.org/officeDocument/2006/relationships/worksheet" Target="/xl/worksheets/sheet5.xml" Id="Rae289004da9c4008" /><Relationship Type="http://schemas.openxmlformats.org/officeDocument/2006/relationships/worksheet" Target="/xl/worksheets/sheet6.xml" Id="R08ef4dc50f2b4166" /><Relationship Type="http://schemas.openxmlformats.org/officeDocument/2006/relationships/worksheet" Target="/xl/worksheets/sheet7.xml" Id="R1a04ea4595ac4a2a" /><Relationship Type="http://schemas.openxmlformats.org/officeDocument/2006/relationships/worksheet" Target="/xl/worksheets/sheet8.xml" Id="Rb83a9d4bd86b40c1" /><Relationship Type="http://schemas.openxmlformats.org/officeDocument/2006/relationships/worksheet" Target="/xl/worksheets/sheet9.xml" Id="R33295fc83cdd42f2" /><Relationship Type="http://schemas.openxmlformats.org/officeDocument/2006/relationships/worksheet" Target="/xl/worksheets/sheet10.xml" Id="Rd7aa746597454d97" /><Relationship Type="http://schemas.openxmlformats.org/officeDocument/2006/relationships/worksheet" Target="/xl/worksheets/sheet11.xml" Id="Rb1e0d82492dc4929" /><Relationship Type="http://schemas.openxmlformats.org/officeDocument/2006/relationships/worksheet" Target="/xl/worksheets/sheet12.xml" Id="R7e52c26bae5d4c45" /></Relationships>
</file>

<file path=xl/drawings/_rels/drawing1.xml.rels>&#65279;<?xml version="1.0" encoding="utf-8"?><Relationships xmlns="http://schemas.openxmlformats.org/package/2006/relationships"><Relationship Type="http://schemas.openxmlformats.org/officeDocument/2006/relationships/chart" Target="/xl/drawings/charts/chart1.xml" Id="R50e215e3440041a1" /><Relationship Type="http://schemas.openxmlformats.org/officeDocument/2006/relationships/chart" Target="/xl/drawings/charts/chart2.xml" Id="Rf36efe05306948f3" /><Relationship Type="http://schemas.openxmlformats.org/officeDocument/2006/relationships/chart" Target="/xl/drawings/charts/chart3.xml" Id="R6c26cb0372494ef0" /></Relationships>
</file>

<file path=xl/drawings/_rels/drawing2.xml.rels>&#65279;<?xml version="1.0" encoding="utf-8"?><Relationships xmlns="http://schemas.openxmlformats.org/package/2006/relationships"><Relationship Type="http://schemas.openxmlformats.org/officeDocument/2006/relationships/chart" Target="/xl/drawings/charts/chart4.xml" Id="Rebaf4a20fdee4c40" /></Relationships>
</file>

<file path=xl/drawings/_rels/drawing3.xml.rels>&#65279;<?xml version="1.0" encoding="utf-8"?><Relationships xmlns="http://schemas.openxmlformats.org/package/2006/relationships"><Relationship Type="http://schemas.openxmlformats.org/officeDocument/2006/relationships/chart" Target="/xl/drawings/charts/chart5.xml" Id="Rce9b3b9cd7524fda" /></Relationships>
</file>

<file path=xl/drawings/_rels/drawing4.xml.rels>&#65279;<?xml version="1.0" encoding="utf-8"?><Relationships xmlns="http://schemas.openxmlformats.org/package/2006/relationships"><Relationship Type="http://schemas.openxmlformats.org/officeDocument/2006/relationships/chart" Target="/xl/drawings/charts/chart6.xml" Id="R71a82e6bb29244b3" /><Relationship Type="http://schemas.openxmlformats.org/officeDocument/2006/relationships/chart" Target="/xl/drawings/charts/chart7.xml" Id="Rf8aff1026553479b" /><Relationship Type="http://schemas.openxmlformats.org/officeDocument/2006/relationships/chart" Target="/xl/drawings/charts/chart8.xml" Id="Rcbc325ca173e4abe" /><Relationship Type="http://schemas.openxmlformats.org/officeDocument/2006/relationships/chart" Target="/xl/drawings/charts/chart9.xml" Id="R9420a67cce404804" /></Relationships>
</file>

<file path=xl/drawings/_rels/drawing5.xml.rels>&#65279;<?xml version="1.0" encoding="utf-8"?><Relationships xmlns="http://schemas.openxmlformats.org/package/2006/relationships"><Relationship Type="http://schemas.openxmlformats.org/officeDocument/2006/relationships/chart" Target="/xl/drawings/charts/chart10.xml" Id="R9dce61a855d243bf" /></Relationships>
</file>

<file path=xl/drawings/charts/chart1.xml><?xml version="1.0" encoding="utf-8"?>
<c:chartSpace xmlns:c="http://schemas.openxmlformats.org/drawingml/2006/chart">
  <c:lang val="en-US"/>
  <c:roundedCorners val="0"/>
  <c:chart>
    <c:plotArea>
      <c:lineChart>
        <c:grouping val="standard"/>
        <c:varyColors val="0"/>
        <c:ser>
          <c:idx val="0"/>
          <c:order val="0"/>
          <c:tx>
            <c:v>Gross Margin</c:v>
          </c:tx>
          <c:marker>
            <c:symbol val="none"/>
          </c:marker>
          <c:cat>
            <c:strRef>
              <c:f>'03_Business_Quality'!$B$5:$G$5</c:f>
              <c:strCache>
                <c:ptCount val="0"/>
              </c:strCache>
            </c:strRef>
          </c:cat>
          <c:val>
            <c:numRef>
              <c:f>'03_Business_Quality'!$B$7:$G$7</c:f>
              <c:numCache>
                <c:formatCode>0%</c:formatCode>
                <c:ptCount val="0"/>
              </c:numCache>
            </c:numRef>
          </c:val>
        </c:ser>
        <c:ser>
          <c:idx val="1"/>
          <c:order val="1"/>
          <c:tx>
            <c:v>Operating Margin</c:v>
          </c:tx>
          <c:marker>
            <c:symbol val="none"/>
          </c:marker>
          <c:cat>
            <c:strRef>
              <c:f>'03_Business_Quality'!$B$5:$G$5</c:f>
              <c:strCache>
                <c:ptCount val="0"/>
              </c:strCache>
            </c:strRef>
          </c:cat>
          <c:val>
            <c:numRef>
              <c:f>'03_Business_Quality'!$B$8:$G$8</c:f>
              <c:numCache>
                <c:formatCode>0%</c:formatCode>
                <c:ptCount val="0"/>
              </c:numCache>
            </c:numRef>
          </c:val>
        </c:ser>
        <c:ser>
          <c:idx val="2"/>
          <c:order val="2"/>
          <c:tx>
            <c:v>Cash FCF Margin</c:v>
          </c:tx>
          <c:marker>
            <c:symbol val="none"/>
          </c:marker>
          <c:cat>
            <c:strRef>
              <c:f>'03_Business_Quality'!$B$5:$G$5</c:f>
              <c:strCache>
                <c:ptCount val="0"/>
              </c:strCache>
            </c:strRef>
          </c:cat>
          <c:val>
            <c:numRef>
              <c:f>'03_Business_Quality'!$B$11:$G$11</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ineChart>
        <c:grouping val="standard"/>
        <c:varyColors val="0"/>
        <c:ser>
          <c:idx val="0"/>
          <c:order val="0"/>
          <c:tx>
            <c:v>Cash CapEx / Revenue</c:v>
          </c:tx>
          <c:marker>
            <c:symbol val="none"/>
          </c:marker>
          <c:cat>
            <c:strRef>
              <c:f>'03_Business_Quality'!$B$15:$G$15</c:f>
              <c:strCache>
                <c:ptCount val="0"/>
              </c:strCache>
            </c:strRef>
          </c:cat>
          <c:val>
            <c:numRef>
              <c:f>'03_Business_Quality'!$B$16:$G$16</c:f>
              <c:numCache>
                <c:formatCode>0%</c:formatCode>
                <c:ptCount val="0"/>
              </c:numCache>
            </c:numRef>
          </c:val>
        </c:ser>
        <c:ser>
          <c:idx val="1"/>
          <c:order val="1"/>
          <c:tx>
            <c:v>Cash CapEx / CFO</c:v>
          </c:tx>
          <c:marker>
            <c:symbol val="none"/>
          </c:marker>
          <c:cat>
            <c:strRef>
              <c:f>'03_Business_Quality'!$B$15:$G$15</c:f>
              <c:strCache>
                <c:ptCount val="0"/>
              </c:strCache>
            </c:strRef>
          </c:cat>
          <c:val>
            <c:numRef>
              <c:f>'03_Business_Quality'!$B$17:$G$17</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ineChart>
        <c:grouping val="standard"/>
        <c:varyColors val="0"/>
        <c:ser>
          <c:idx val="0"/>
          <c:order val="0"/>
          <c:tx>
            <c:v>ROIC</c:v>
          </c:tx>
          <c:marker>
            <c:symbol val="none"/>
          </c:marker>
          <c:cat>
            <c:strRef>
              <c:f>'03_Business_Quality'!$B$20:$G$20</c:f>
              <c:strCache>
                <c:ptCount val="0"/>
              </c:strCache>
            </c:strRef>
          </c:cat>
          <c:val>
            <c:numRef>
              <c:f>'03_Business_Quality'!$B$26:$G$26</c:f>
              <c:numCache>
                <c:formatCode>0%</c:formatCode>
                <c:ptCount val="0"/>
              </c:numCache>
            </c:numRef>
          </c:val>
        </c:ser>
        <c:ser>
          <c:idx val="1"/>
          <c:order val="1"/>
          <c:tx>
            <c:v>Incremental ROIC</c:v>
          </c:tx>
          <c:marker>
            <c:symbol val="none"/>
          </c:marker>
          <c:cat>
            <c:strRef>
              <c:f>'03_Business_Quality'!$B$20:$G$20</c:f>
              <c:strCache>
                <c:ptCount val="0"/>
              </c:strCache>
            </c:strRef>
          </c:cat>
          <c:val>
            <c:numRef>
              <c:f>'03_Business_Quality'!$B$29:$G$29</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ineChart>
        <c:grouping val="standard"/>
        <c:varyColors val="0"/>
        <c:ser>
          <c:idx val="0"/>
          <c:order val="0"/>
          <c:tx>
            <c:v>Base-Case Revenue Growth</c:v>
          </c:tx>
          <c:marker>
            <c:symbol val="none"/>
          </c:marker>
          <c:cat>
            <c:strRef>
              <c:f>'08_Reverse_DCF'!$C$24:$L$24</c:f>
              <c:strCache>
                <c:ptCount val="0"/>
              </c:strCache>
            </c:strRef>
          </c:cat>
          <c:val>
            <c:numRef>
              <c:f>'08_Reverse_DCF'!$C$25:$L$25</c:f>
              <c:numCache>
                <c:formatCode>0%</c:formatCode>
                <c:ptCount val="0"/>
              </c:numCache>
            </c:numRef>
          </c:val>
        </c:ser>
        <c:ser>
          <c:idx val="1"/>
          <c:order val="1"/>
          <c:tx>
            <c:v>Market-Implied Revenue Growth</c:v>
          </c:tx>
          <c:marker>
            <c:symbol val="none"/>
          </c:marker>
          <c:cat>
            <c:strRef>
              <c:f>'08_Reverse_DCF'!$C$24:$L$24</c:f>
              <c:strCache>
                <c:ptCount val="0"/>
              </c:strCache>
            </c:strRef>
          </c:cat>
          <c:val>
            <c:numRef>
              <c:f>'08_Reverse_DCF'!$C$28:$L$28</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plotArea>
      <c:barChart>
        <c:barDir val="bar"/>
        <c:grouping val="clustered"/>
        <c:varyColors val="0"/>
        <c:ser>
          <c:idx val="0"/>
          <c:order val="0"/>
          <c:tx>
            <c:v>Value / Share</c:v>
          </c:tx>
          <c:cat>
            <c:strRef>
              <c:f>'09_Sensitivity_Analysis'!$A$17:$A$20</c:f>
              <c:strCache>
                <c:ptCount val="0"/>
              </c:strCache>
            </c:strRef>
          </c:cat>
          <c:val>
            <c:numRef>
              <c:f>'09_Sensitivity_Analysis'!$D$17:$D$20</c:f>
              <c:numCache>
                <c:formatCode>General</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plotArea>
      <c:lineChart>
        <c:grouping val="standard"/>
        <c:varyColors val="0"/>
        <c:ser>
          <c:idx val="0"/>
          <c:order val="0"/>
          <c:tx>
            <c:v>Revenue</c:v>
          </c:tx>
          <c:marker>
            <c:symbol val="none"/>
          </c:marker>
          <c:cat>
            <c:strRef>
              <c:f>'10_Dashboard'!$Q$3:$Q$13</c:f>
              <c:strCache>
                <c:ptCount val="0"/>
              </c:strCache>
            </c:strRef>
          </c:cat>
          <c:val>
            <c:numRef>
              <c:f>'10_Dashboard'!$R$3:$R$13</c:f>
              <c:numCache>
                <c:formatCode>#,##0</c:formatCode>
                <c:ptCount val="0"/>
              </c:numCache>
            </c:numRef>
          </c:val>
        </c:ser>
        <c:ser>
          <c:idx val="1"/>
          <c:order val="1"/>
          <c:tx>
            <c:v>Operating Income</c:v>
          </c:tx>
          <c:marker>
            <c:symbol val="none"/>
          </c:marker>
          <c:cat>
            <c:strRef>
              <c:f>'10_Dashboard'!$Q$3:$Q$13</c:f>
              <c:strCache>
                <c:ptCount val="0"/>
              </c:strCache>
            </c:strRef>
          </c:cat>
          <c:val>
            <c:numRef>
              <c:f>'10_Dashboard'!$S$3:$S$13</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plotArea>
      <c:barChart>
        <c:barDir val="col"/>
        <c:grouping val="percentStacked"/>
        <c:varyColors val="0"/>
        <c:ser>
          <c:idx val="0"/>
          <c:order val="0"/>
          <c:tx>
            <c:v>PBP</c:v>
          </c:tx>
          <c:cat>
            <c:strRef>
              <c:f>'10_Dashboard'!$U$3:$U$4</c:f>
              <c:strCache>
                <c:ptCount val="0"/>
              </c:strCache>
            </c:strRef>
          </c:cat>
          <c:val>
            <c:numRef>
              <c:f>'10_Dashboard'!$V$3:$V$4</c:f>
              <c:numCache>
                <c:formatCode>0%</c:formatCode>
                <c:ptCount val="0"/>
              </c:numCache>
            </c:numRef>
          </c:val>
        </c:ser>
        <c:ser>
          <c:idx val="1"/>
          <c:order val="1"/>
          <c:tx>
            <c:v>Intelligent Cloud</c:v>
          </c:tx>
          <c:cat>
            <c:strRef>
              <c:f>'10_Dashboard'!$U$3:$U$4</c:f>
              <c:strCache>
                <c:ptCount val="0"/>
              </c:strCache>
            </c:strRef>
          </c:cat>
          <c:val>
            <c:numRef>
              <c:f>'10_Dashboard'!$W$3:$W$4</c:f>
              <c:numCache>
                <c:formatCode>0%</c:formatCode>
                <c:ptCount val="0"/>
              </c:numCache>
            </c:numRef>
          </c:val>
        </c:ser>
        <c:ser>
          <c:idx val="2"/>
          <c:order val="2"/>
          <c:tx>
            <c:v>MPC</c:v>
          </c:tx>
          <c:cat>
            <c:strRef>
              <c:f>'10_Dashboard'!$U$3:$U$4</c:f>
              <c:strCache>
                <c:ptCount val="0"/>
              </c:strCache>
            </c:strRef>
          </c:cat>
          <c:val>
            <c:numRef>
              <c:f>'10_Dashboard'!$X$3:$X$4</c:f>
              <c:numCache>
                <c:formatCode>0%</c:formatCode>
                <c:ptCount val="0"/>
              </c:numCache>
            </c:numRef>
          </c:val>
        </c:ser>
        <c:overlap val="10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plotArea>
      <c:barChart>
        <c:barDir val="col"/>
        <c:grouping val="clustered"/>
        <c:varyColors val="0"/>
        <c:ser>
          <c:idx val="0"/>
          <c:order val="0"/>
          <c:tx>
            <c:v>Value / Share</c:v>
          </c:tx>
          <c:cat>
            <c:strRef>
              <c:f>'10_Dashboard'!$Y$3:$Y$6</c:f>
              <c:strCache>
                <c:ptCount val="0"/>
              </c:strCache>
            </c:strRef>
          </c:cat>
          <c:val>
            <c:numRef>
              <c:f>'10_Dashboard'!$Z$3:$Z$6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plotArea>
      <c:lineChart>
        <c:grouping val="standard"/>
        <c:varyColors val="0"/>
        <c:ser>
          <c:idx val="0"/>
          <c:order val="0"/>
          <c:tx>
            <c:v>Cash CapEx / Revenue</c:v>
          </c:tx>
          <c:marker>
            <c:symbol val="none"/>
          </c:marker>
          <c:cat>
            <c:strRef>
              <c:f>'10_Dashboard'!$AA$3:$AA$6</c:f>
              <c:strCache>
                <c:ptCount val="0"/>
              </c:strCache>
            </c:strRef>
          </c:cat>
          <c:val>
            <c:numRef>
              <c:f>'10_Dashboard'!$AB$3:$AB$6</c:f>
              <c:numCache>
                <c:formatCode>0%</c:formatCode>
                <c:ptCount val="0"/>
              </c:numCache>
            </c:numRef>
          </c:val>
        </c:ser>
        <c:ser>
          <c:idx val="1"/>
          <c:order val="1"/>
          <c:tx>
            <c:v>Total CapEx / Revenue</c:v>
          </c:tx>
          <c:marker>
            <c:symbol val="none"/>
          </c:marker>
          <c:cat>
            <c:strRef>
              <c:f>'10_Dashboard'!$AA$3:$AA$6</c:f>
              <c:strCache>
                <c:ptCount val="0"/>
              </c:strCache>
            </c:strRef>
          </c:cat>
          <c:val>
            <c:numRef>
              <c:f>'10_Dashboard'!$AC$3:$AC$6</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plotArea>
      <c:barChart>
        <c:barDir val="bar"/>
        <c:grouping val="clustered"/>
        <c:varyColors val="0"/>
        <c:ser>
          <c:idx val="0"/>
          <c:order val="0"/>
          <c:tx>
            <c:v>Score</c:v>
          </c:tx>
          <c:cat>
            <c:strRef>
              <c:f>'11_Buffett_5_Tenets'!$X$1:$X$5</c:f>
              <c:strCache>
                <c:ptCount val="0"/>
              </c:strCache>
            </c:strRef>
          </c:cat>
          <c:val>
            <c:numRef>
              <c:f>'11_Buffett_5_Tenets'!$Y$1:$Y$5</c:f>
              <c:numCache>
                <c:formatCode>0.0</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16</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e215e3440041a1"/>
        </a:graphicData>
      </a:graphic>
    </xdr:graphicFrame>
    <xdr:clientData/>
  </xdr:twoCellAnchor>
  <xdr:twoCellAnchor>
    <xdr:from>
      <xdr:col>8</xdr:col>
      <xdr:colOff>0</xdr:colOff>
      <xdr:row>17</xdr:row>
      <xdr:rowOff>0</xdr:rowOff>
    </xdr:from>
    <xdr:to>
      <xdr:col>16</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36efe05306948f3"/>
        </a:graphicData>
      </a:graphic>
    </xdr:graphicFrame>
    <xdr:clientData/>
  </xdr:twoCellAnchor>
  <xdr:twoCellAnchor>
    <xdr:from>
      <xdr:col>8</xdr:col>
      <xdr:colOff>0</xdr:colOff>
      <xdr:row>31</xdr:row>
      <xdr:rowOff>0</xdr:rowOff>
    </xdr:from>
    <xdr:to>
      <xdr:col>16</xdr:col>
      <xdr:colOff>0</xdr:colOff>
      <xdr:row>44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26cb0372494ef0"/>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3</xdr:row>
      <xdr:rowOff>0</xdr:rowOff>
    </xdr:from>
    <xdr:to>
      <xdr:col>22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af4a20fdee4c40"/>
        </a:graphicData>
      </a:graphic>
    </xdr:graphicFrame>
    <xdr:clientData/>
  </xdr:twoCellAnchor>
</xdr:wsDr>
</file>

<file path=xl/drawings/drawing3.xml><?xml version="1.0" encoding="utf-8"?>
<xdr:wsDr xmlns:xdr="http://schemas.openxmlformats.org/drawingml/2006/spreadsheetDrawing">
  <xdr:twoCellAnchor>
    <xdr:from>
      <xdr:col>7</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9b3b9cd7524fda"/>
        </a:graphicData>
      </a:graphic>
    </xdr:graphicFrame>
    <xdr:clientData/>
  </xdr:twoCellAnchor>
</xdr:wsDr>
</file>

<file path=xl/drawings/drawing4.xml><?xml version="1.0" encoding="utf-8"?>
<xdr:wsDr xmlns:xdr="http://schemas.openxmlformats.org/drawingml/2006/spreadsheetDrawing">
  <xdr:twoCellAnchor>
    <xdr:from>
      <xdr:col>0</xdr:col>
      <xdr:colOff>0</xdr:colOff>
      <xdr:row>19</xdr:row>
      <xdr:rowOff>0</xdr:rowOff>
    </xdr:from>
    <xdr:to>
      <xdr:col>8</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a82e6bb29244b3"/>
        </a:graphicData>
      </a:graphic>
    </xdr:graphicFrame>
    <xdr:clientData/>
  </xdr:twoCellAnchor>
  <xdr:twoCellAnchor>
    <xdr:from>
      <xdr:col>8</xdr:col>
      <xdr:colOff>0</xdr:colOff>
      <xdr:row>19</xdr:row>
      <xdr:rowOff>0</xdr:rowOff>
    </xdr:from>
    <xdr:to>
      <xdr:col>15</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aff1026553479b"/>
        </a:graphicData>
      </a:graphic>
    </xdr:graphicFrame>
    <xdr:clientData/>
  </xdr:twoCellAnchor>
  <xdr:twoCellAnchor>
    <xdr:from>
      <xdr:col>0</xdr:col>
      <xdr:colOff>0</xdr:colOff>
      <xdr:row>35</xdr:row>
      <xdr:rowOff>0</xdr:rowOff>
    </xdr:from>
    <xdr:to>
      <xdr:col>8</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c325ca173e4abe"/>
        </a:graphicData>
      </a:graphic>
    </xdr:graphicFrame>
    <xdr:clientData/>
  </xdr:twoCellAnchor>
  <xdr:twoCellAnchor>
    <xdr:from>
      <xdr:col>8</xdr:col>
      <xdr:colOff>0</xdr:colOff>
      <xdr:row>35</xdr:row>
      <xdr:rowOff>0</xdr:rowOff>
    </xdr:from>
    <xdr:to>
      <xdr:col>15</xdr:col>
      <xdr:colOff>0</xdr:colOff>
      <xdr:row>50</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20a67cce404804"/>
        </a:graphicData>
      </a:graphic>
    </xdr:graphicFrame>
    <xdr:clientData/>
  </xdr:twoCellAnchor>
</xdr:wsDr>
</file>

<file path=xl/drawings/drawing5.xml><?xml version="1.0" encoding="utf-8"?>
<xdr:wsDr xmlns:xdr="http://schemas.openxmlformats.org/drawingml/2006/spreadsheetDrawing">
  <xdr:twoCellAnchor>
    <xdr:from>
      <xdr:col>10</xdr:col>
      <xdr:colOff>0</xdr:colOff>
      <xdr:row>7</xdr:row>
      <xdr:rowOff>0</xdr:rowOff>
    </xdr:from>
    <xdr:to>
      <xdr:col>17</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ce61a855d243bf"/>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208a5224a5954e24" /></Relationships>
</file>

<file path=xl/worksheets/_rels/sheet9.xml.rels>&#65279;<?xml version="1.0" encoding="utf-8"?><Relationships xmlns="http://schemas.openxmlformats.org/package/2006/relationships"><Relationship Type="http://schemas.openxmlformats.org/officeDocument/2006/relationships/drawing" Target="/xl/drawings/drawing2.xml" Id="Raedc4eed7b624995" /></Relationships>
</file>

<file path=xl/worksheets/_rels/sheet10.xml.rels>&#65279;<?xml version="1.0" encoding="utf-8"?><Relationships xmlns="http://schemas.openxmlformats.org/package/2006/relationships"><Relationship Type="http://schemas.openxmlformats.org/officeDocument/2006/relationships/drawing" Target="/xl/drawings/drawing3.xml" Id="Red28eec354ad4b0a" /></Relationships>
</file>

<file path=xl/worksheets/_rels/sheet11.xml.rels>&#65279;<?xml version="1.0" encoding="utf-8"?><Relationships xmlns="http://schemas.openxmlformats.org/package/2006/relationships"><Relationship Type="http://schemas.openxmlformats.org/officeDocument/2006/relationships/drawing" Target="/xl/drawings/drawing4.xml" Id="R0d81b01ad6a4403b" /></Relationships>
</file>

<file path=xl/worksheets/_rels/sheet12.xml.rels>&#65279;<?xml version="1.0" encoding="utf-8"?><Relationships xmlns="http://schemas.openxmlformats.org/package/2006/relationships"><Relationship Type="http://schemas.openxmlformats.org/officeDocument/2006/relationships/drawing" Target="/xl/drawings/drawing5.xml" Id="Re0d39bb3694f46a9" /></Relationships>
</file>

<file path=xl/worksheets/sheet1.xml><?xml version="1.0" encoding="utf-8"?>
<x:worksheet xmlns:x="http://schemas.openxmlformats.org/spreadsheetml/2006/main">
  <x:sheetFormatPr defaultRowHeight="15"/>
  <x:cols>
    <x:col min="1" max="1" width="48" hidden="0" customWidth="1"/>
    <x:col min="2" max="2" width="18" hidden="0" customWidth="1"/>
    <x:col min="3" max="3" width="24"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s>
  <x:sheetData>
    <x:row r="1" ht="28" customHeight="1">
      <x:c r="A1" s="16" t="str">
        <x:v>Assumptions</x:v>
      </x:c>
      <x:c r="B1" s="16"/>
      <x:c r="C1" s="16"/>
      <x:c r="D1" s="16"/>
      <x:c r="E1" s="16"/>
      <x:c r="F1" s="16"/>
      <x:c r="G1" s="16"/>
      <x:c r="H1" s="16"/>
      <x:c r="I1" s="16"/>
      <x:c r="J1" s="16"/>
      <x:c r="K1" s="16"/>
      <x:c r="L1" s="12"/>
      <x:c r="M1" s="12"/>
      <x:c r="N1" s="12"/>
      <x:c r="O1" s="12"/>
      <x:c r="P1" s="12"/>
    </x:row>
    <x:row r="2">
      <x:c r="A2" s="12"/>
      <x:c r="B2" s="12"/>
      <x:c r="C2" s="12"/>
      <x:c r="D2" s="12"/>
      <x:c r="E2" s="12"/>
      <x:c r="F2" s="12"/>
      <x:c r="G2" s="12"/>
      <x:c r="H2" s="12"/>
      <x:c r="I2" s="12"/>
      <x:c r="J2" s="12"/>
      <x:c r="K2" s="12"/>
      <x:c r="L2" s="12"/>
      <x:c r="M2" s="12"/>
      <x:c r="N2" s="12"/>
      <x:c r="O2" s="12"/>
      <x:c r="P2" s="12"/>
    </x:row>
    <x:row r="3">
      <x:c r="A3" s="38" t="str">
        <x:v>Normalized Tax Rate</x:v>
      </x:c>
      <x:c r="B3" s="46" t="n">
        <x:v>0.18</x:v>
      </x:c>
      <x:c r="C3" s="46" t="n">
        <x:v>0.18</x:v>
      </x:c>
      <x:c r="D3" s="46" t="n">
        <x:v>0.18</x:v>
      </x:c>
      <x:c r="E3" s="46" t="n">
        <x:v>0.18</x:v>
      </x:c>
      <x:c r="F3" s="46" t="n">
        <x:v>0.18</x:v>
      </x:c>
      <x:c r="G3" s="46" t="n">
        <x:v>0.18</x:v>
      </x:c>
      <x:c r="H3" s="46" t="n">
        <x:v>0.18</x:v>
      </x:c>
      <x:c r="I3" s="46" t="n">
        <x:v>0.18</x:v>
      </x:c>
      <x:c r="J3" s="46" t="n">
        <x:v>0.18</x:v>
      </x:c>
      <x:c r="K3" s="46" t="n">
        <x:v>0.18</x:v>
      </x:c>
      <x:c r="L3" s="46" t="n">
        <x:v>0.18</x:v>
      </x:c>
      <x:c r="M3" s="46" t="n">
        <x:v>0.18</x:v>
      </x:c>
      <x:c r="N3" s="46" t="n">
        <x:v>0.18</x:v>
      </x:c>
      <x:c r="O3" s="46" t="n">
        <x:v>0.18</x:v>
      </x:c>
      <x:c r="P3" s="46" t="n">
        <x:v>0.18</x:v>
      </x:c>
    </x:row>
    <x:row r="4">
      <x:c r="A4" s="12"/>
      <x:c r="B4" s="12"/>
      <x:c r="C4" s="12"/>
      <x:c r="D4" s="12"/>
      <x:c r="E4" s="12"/>
      <x:c r="F4" s="12"/>
      <x:c r="G4" s="12"/>
      <x:c r="H4" s="12"/>
      <x:c r="I4" s="12"/>
      <x:c r="J4" s="12"/>
      <x:c r="K4" s="12"/>
      <x:c r="L4" s="12"/>
      <x:c r="M4" s="12"/>
      <x:c r="N4" s="12"/>
      <x:c r="O4" s="12"/>
      <x:c r="P4" s="12"/>
    </x:row>
    <x:row r="5">
      <x:c r="A5" s="12"/>
      <x:c r="B5" s="12"/>
      <x:c r="C5" s="12"/>
      <x:c r="D5" s="12"/>
      <x:c r="E5" s="12"/>
      <x:c r="F5" s="12"/>
      <x:c r="G5" s="12"/>
      <x:c r="H5" s="12"/>
      <x:c r="I5" s="12"/>
      <x:c r="J5" s="12"/>
      <x:c r="K5" s="12"/>
      <x:c r="L5" s="12"/>
      <x:c r="M5" s="12"/>
      <x:c r="N5" s="12"/>
      <x:c r="O5" s="12"/>
      <x:c r="P5" s="12"/>
    </x:row>
    <x:row r="6" ht="20" customHeight="1">
      <x:c r="A6" s="27" t="str">
        <x:v>Base-Case Segment Assumptions</x:v>
      </x:c>
      <x:c r="B6" s="27"/>
      <x:c r="C6" s="27"/>
      <x:c r="D6" s="27"/>
      <x:c r="E6" s="27"/>
      <x:c r="F6" s="27"/>
      <x:c r="G6" s="27"/>
      <x:c r="H6" s="27"/>
      <x:c r="I6" s="27"/>
      <x:c r="J6" s="27"/>
      <x:c r="K6" s="27"/>
      <x:c r="L6" s="12"/>
      <x:c r="M6" s="12"/>
      <x:c r="N6" s="12"/>
      <x:c r="O6" s="12"/>
      <x:c r="P6" s="12"/>
    </x:row>
    <x:row r="7">
      <x:c r="A7" s="33" t="str">
        <x:v>Metric</x:v>
      </x:c>
      <x:c r="B7" s="33" t="str">
        <x:v>FY2027E</x:v>
      </x:c>
      <x:c r="C7" s="33" t="str">
        <x:v>FY2028E</x:v>
      </x:c>
      <x:c r="D7" s="33" t="str">
        <x:v>FY2029E</x:v>
      </x:c>
      <x:c r="E7" s="33" t="str">
        <x:v>FY2030E</x:v>
      </x:c>
      <x:c r="F7" s="33" t="str">
        <x:v>FY2031E</x:v>
      </x:c>
      <x:c r="G7" s="33" t="str">
        <x:v>FY2032E</x:v>
      </x:c>
      <x:c r="H7" s="33" t="str">
        <x:v>FY2033E</x:v>
      </x:c>
      <x:c r="I7" s="33" t="str">
        <x:v>FY2034E</x:v>
      </x:c>
      <x:c r="J7" s="33" t="str">
        <x:v>FY2035E</x:v>
      </x:c>
      <x:c r="K7" s="33" t="str">
        <x:v>FY2036E</x:v>
      </x:c>
      <x:c r="L7" s="12"/>
      <x:c r="M7" s="12"/>
      <x:c r="N7" s="12"/>
      <x:c r="O7" s="12"/>
      <x:c r="P7" s="12"/>
    </x:row>
    <x:row r="8">
      <x:c r="A8" s="12" t="str">
        <x:v>PBP Revenue Growth</x:v>
      </x:c>
      <x:c r="B8" s="46" t="n">
        <x:v>0.12</x:v>
      </x:c>
      <x:c r="C8" s="46" t="n">
        <x:v>0.105</x:v>
      </x:c>
      <x:c r="D8" s="46" t="n">
        <x:v>0.09</x:v>
      </x:c>
      <x:c r="E8" s="46" t="n">
        <x:v>0.08</x:v>
      </x:c>
      <x:c r="F8" s="46" t="n">
        <x:v>0.07</x:v>
      </x:c>
      <x:c r="G8" s="46" t="n">
        <x:v>0.06</x:v>
      </x:c>
      <x:c r="H8" s="46" t="n">
        <x:v>0.055</x:v>
      </x:c>
      <x:c r="I8" s="46" t="n">
        <x:v>0.05</x:v>
      </x:c>
      <x:c r="J8" s="46" t="n">
        <x:v>0.045</x:v>
      </x:c>
      <x:c r="K8" s="46" t="n">
        <x:v>0.04</x:v>
      </x:c>
      <x:c r="L8" s="12"/>
      <x:c r="M8" s="12"/>
      <x:c r="N8" s="12"/>
      <x:c r="O8" s="12"/>
      <x:c r="P8" s="12"/>
    </x:row>
    <x:row r="9">
      <x:c r="A9" s="12" t="str">
        <x:v>PBP Operating Margin</x:v>
      </x:c>
      <x:c r="B9" s="46" t="n">
        <x:v>0.59</x:v>
      </x:c>
      <x:c r="C9" s="46" t="n">
        <x:v>0.595</x:v>
      </x:c>
      <x:c r="D9" s="46" t="n">
        <x:v>0.598</x:v>
      </x:c>
      <x:c r="E9" s="46" t="n">
        <x:v>0.6</x:v>
      </x:c>
      <x:c r="F9" s="46" t="n">
        <x:v>0.598</x:v>
      </x:c>
      <x:c r="G9" s="46" t="n">
        <x:v>0.595</x:v>
      </x:c>
      <x:c r="H9" s="46" t="n">
        <x:v>0.592</x:v>
      </x:c>
      <x:c r="I9" s="46" t="n">
        <x:v>0.59</x:v>
      </x:c>
      <x:c r="J9" s="46" t="n">
        <x:v>0.588</x:v>
      </x:c>
      <x:c r="K9" s="46" t="n">
        <x:v>0.585</x:v>
      </x:c>
      <x:c r="L9" s="12"/>
      <x:c r="M9" s="12"/>
      <x:c r="N9" s="12"/>
      <x:c r="O9" s="12"/>
      <x:c r="P9" s="12"/>
    </x:row>
    <x:row r="10">
      <x:c r="A10" s="12" t="str">
        <x:v>Intelligent Cloud Revenue Growth</x:v>
      </x:c>
      <x:c r="B10" s="46" t="n">
        <x:v>0.3</x:v>
      </x:c>
      <x:c r="C10" s="46" t="n">
        <x:v>0.24</x:v>
      </x:c>
      <x:c r="D10" s="46" t="n">
        <x:v>0.2</x:v>
      </x:c>
      <x:c r="E10" s="46" t="n">
        <x:v>0.16</x:v>
      </x:c>
      <x:c r="F10" s="46" t="n">
        <x:v>0.13</x:v>
      </x:c>
      <x:c r="G10" s="46" t="n">
        <x:v>0.1</x:v>
      </x:c>
      <x:c r="H10" s="46" t="n">
        <x:v>0.085</x:v>
      </x:c>
      <x:c r="I10" s="46" t="n">
        <x:v>0.07</x:v>
      </x:c>
      <x:c r="J10" s="46" t="n">
        <x:v>0.06</x:v>
      </x:c>
      <x:c r="K10" s="46" t="n">
        <x:v>0.055</x:v>
      </x:c>
      <x:c r="L10" s="12"/>
      <x:c r="M10" s="12"/>
      <x:c r="N10" s="12"/>
      <x:c r="O10" s="12"/>
      <x:c r="P10" s="12"/>
    </x:row>
    <x:row r="11">
      <x:c r="A11" s="12" t="str">
        <x:v>Intelligent Cloud Operating Margin</x:v>
      </x:c>
      <x:c r="B11" s="46" t="n">
        <x:v>0.405</x:v>
      </x:c>
      <x:c r="C11" s="46" t="n">
        <x:v>0.4</x:v>
      </x:c>
      <x:c r="D11" s="46" t="n">
        <x:v>0.403</x:v>
      </x:c>
      <x:c r="E11" s="46" t="n">
        <x:v>0.408</x:v>
      </x:c>
      <x:c r="F11" s="46" t="n">
        <x:v>0.413</x:v>
      </x:c>
      <x:c r="G11" s="46" t="n">
        <x:v>0.418</x:v>
      </x:c>
      <x:c r="H11" s="46" t="n">
        <x:v>0.423</x:v>
      </x:c>
      <x:c r="I11" s="46" t="n">
        <x:v>0.427</x:v>
      </x:c>
      <x:c r="J11" s="46" t="n">
        <x:v>0.43</x:v>
      </x:c>
      <x:c r="K11" s="46" t="n">
        <x:v>0.432</x:v>
      </x:c>
      <x:c r="L11" s="12"/>
      <x:c r="M11" s="12"/>
      <x:c r="N11" s="12"/>
      <x:c r="O11" s="12"/>
      <x:c r="P11" s="12"/>
    </x:row>
    <x:row r="12">
      <x:c r="A12" s="12" t="str">
        <x:v>MPC Revenue Growth</x:v>
      </x:c>
      <x:c r="B12" s="46" t="n">
        <x:v>-0.08</x:v>
      </x:c>
      <x:c r="C12" s="46" t="n">
        <x:v>0</x:v>
      </x:c>
      <x:c r="D12" s="46" t="n">
        <x:v>0.015</x:v>
      </x:c>
      <x:c r="E12" s="46" t="n">
        <x:v>0.025</x:v>
      </x:c>
      <x:c r="F12" s="46" t="n">
        <x:v>0.03</x:v>
      </x:c>
      <x:c r="G12" s="46" t="n">
        <x:v>0.03</x:v>
      </x:c>
      <x:c r="H12" s="46" t="n">
        <x:v>0.025</x:v>
      </x:c>
      <x:c r="I12" s="46" t="n">
        <x:v>0.025</x:v>
      </x:c>
      <x:c r="J12" s="46" t="n">
        <x:v>0.02</x:v>
      </x:c>
      <x:c r="K12" s="46" t="n">
        <x:v>0.02</x:v>
      </x:c>
      <x:c r="L12" s="12"/>
      <x:c r="M12" s="12"/>
      <x:c r="N12" s="12"/>
      <x:c r="O12" s="12"/>
      <x:c r="P12" s="12"/>
    </x:row>
    <x:row r="13">
      <x:c r="A13" s="12" t="str">
        <x:v>MPC Operating Margin</x:v>
      </x:c>
      <x:c r="B13" s="46" t="n">
        <x:v>0.25</x:v>
      </x:c>
      <x:c r="C13" s="46" t="n">
        <x:v>0.255</x:v>
      </x:c>
      <x:c r="D13" s="46" t="n">
        <x:v>0.26</x:v>
      </x:c>
      <x:c r="E13" s="46" t="n">
        <x:v>0.262</x:v>
      </x:c>
      <x:c r="F13" s="46" t="n">
        <x:v>0.264</x:v>
      </x:c>
      <x:c r="G13" s="46" t="n">
        <x:v>0.266</x:v>
      </x:c>
      <x:c r="H13" s="46" t="n">
        <x:v>0.268</x:v>
      </x:c>
      <x:c r="I13" s="46" t="n">
        <x:v>0.269</x:v>
      </x:c>
      <x:c r="J13" s="46" t="n">
        <x:v>0.27</x:v>
      </x:c>
      <x:c r="K13" s="46" t="n">
        <x:v>0.27</x:v>
      </x:c>
      <x:c r="L13" s="12"/>
      <x:c r="M13" s="12"/>
      <x:c r="N13" s="12"/>
      <x:c r="O13" s="12"/>
      <x:c r="P13" s="12"/>
    </x:row>
    <x:row r="14">
      <x:c r="A14" s="12"/>
      <x:c r="B14" s="12"/>
      <x:c r="C14" s="12"/>
      <x:c r="D14" s="12"/>
      <x:c r="E14" s="12"/>
      <x:c r="F14" s="12"/>
      <x:c r="G14" s="12"/>
      <x:c r="H14" s="12"/>
      <x:c r="I14" s="12"/>
      <x:c r="J14" s="12"/>
      <x:c r="K14" s="12"/>
      <x:c r="L14" s="12"/>
      <x:c r="M14" s="12"/>
      <x:c r="N14" s="12"/>
      <x:c r="O14" s="12"/>
      <x:c r="P14" s="12"/>
    </x:row>
    <x:row r="15">
      <x:c r="A15" s="12"/>
      <x:c r="B15" s="12"/>
      <x:c r="C15" s="12"/>
      <x:c r="D15" s="12"/>
      <x:c r="E15" s="12"/>
      <x:c r="F15" s="12"/>
      <x:c r="G15" s="12"/>
      <x:c r="H15" s="12"/>
      <x:c r="I15" s="12"/>
      <x:c r="J15" s="12"/>
      <x:c r="K15" s="12"/>
      <x:c r="L15" s="12"/>
      <x:c r="M15" s="12"/>
      <x:c r="N15" s="12"/>
      <x:c r="O15" s="12"/>
      <x:c r="P15" s="12"/>
    </x:row>
    <x:row r="16">
      <x:c r="A16" s="12"/>
      <x:c r="B16" s="12"/>
      <x:c r="C16" s="12"/>
      <x:c r="D16" s="12"/>
      <x:c r="E16" s="12"/>
      <x:c r="F16" s="12"/>
      <x:c r="G16" s="12"/>
      <x:c r="H16" s="12"/>
      <x:c r="I16" s="12"/>
      <x:c r="J16" s="12"/>
      <x:c r="K16" s="12"/>
      <x:c r="L16" s="12"/>
      <x:c r="M16" s="12"/>
      <x:c r="N16" s="12"/>
      <x:c r="O16" s="12"/>
      <x:c r="P16" s="12"/>
    </x:row>
    <x:row r="17">
      <x:c r="A17" s="12"/>
      <x:c r="B17" s="12"/>
      <x:c r="C17" s="12"/>
      <x:c r="D17" s="12"/>
      <x:c r="E17" s="12"/>
      <x:c r="F17" s="12"/>
      <x:c r="G17" s="12"/>
      <x:c r="H17" s="12"/>
      <x:c r="I17" s="12"/>
      <x:c r="J17" s="12"/>
      <x:c r="K17" s="12"/>
      <x:c r="L17" s="12"/>
      <x:c r="M17" s="12"/>
      <x:c r="N17" s="12"/>
      <x:c r="O17" s="12"/>
      <x:c r="P17" s="12"/>
    </x:row>
    <x:row r="18" ht="20" customHeight="1">
      <x:c r="A18" s="27" t="str">
        <x:v>Consolidated Forecast Assumptions</x:v>
      </x:c>
      <x:c r="B18" s="27"/>
      <x:c r="C18" s="27"/>
      <x:c r="D18" s="27"/>
      <x:c r="E18" s="27"/>
      <x:c r="F18" s="27"/>
      <x:c r="G18" s="27"/>
      <x:c r="H18" s="27"/>
      <x:c r="I18" s="27"/>
      <x:c r="J18" s="27"/>
      <x:c r="K18" s="27"/>
      <x:c r="L18" s="12"/>
      <x:c r="M18" s="12"/>
      <x:c r="N18" s="12"/>
      <x:c r="O18" s="12"/>
      <x:c r="P18" s="12"/>
    </x:row>
    <x:row r="19">
      <x:c r="A19" s="33" t="str">
        <x:v>Metric</x:v>
      </x:c>
      <x:c r="B19" s="33" t="str">
        <x:v>FY2027E</x:v>
      </x:c>
      <x:c r="C19" s="33" t="str">
        <x:v>FY2028E</x:v>
      </x:c>
      <x:c r="D19" s="33" t="str">
        <x:v>FY2029E</x:v>
      </x:c>
      <x:c r="E19" s="33" t="str">
        <x:v>FY2030E</x:v>
      </x:c>
      <x:c r="F19" s="33" t="str">
        <x:v>FY2031E</x:v>
      </x:c>
      <x:c r="G19" s="33" t="str">
        <x:v>FY2032E</x:v>
      </x:c>
      <x:c r="H19" s="33" t="str">
        <x:v>FY2033E</x:v>
      </x:c>
      <x:c r="I19" s="33" t="str">
        <x:v>FY2034E</x:v>
      </x:c>
      <x:c r="J19" s="33" t="str">
        <x:v>FY2035E</x:v>
      </x:c>
      <x:c r="K19" s="33" t="str">
        <x:v>FY2036E</x:v>
      </x:c>
      <x:c r="L19" s="12"/>
      <x:c r="M19" s="12"/>
      <x:c r="N19" s="12"/>
      <x:c r="O19" s="12"/>
      <x:c r="P19" s="12"/>
    </x:row>
    <x:row r="20">
      <x:c r="A20" s="12" t="str">
        <x:v>Operating Tax Rate</x:v>
      </x:c>
      <x:c r="B20" s="46" t="n">
        <x:v>0.2</x:v>
      </x:c>
      <x:c r="C20" s="46" t="n">
        <x:v>0.195</x:v>
      </x:c>
      <x:c r="D20" s="46" t="n">
        <x:v>0.19</x:v>
      </x:c>
      <x:c r="E20" s="46" t="n">
        <x:v>0.19</x:v>
      </x:c>
      <x:c r="F20" s="46" t="n">
        <x:v>0.19</x:v>
      </x:c>
      <x:c r="G20" s="46" t="n">
        <x:v>0.19</x:v>
      </x:c>
      <x:c r="H20" s="46" t="n">
        <x:v>0.19</x:v>
      </x:c>
      <x:c r="I20" s="46" t="n">
        <x:v>0.19</x:v>
      </x:c>
      <x:c r="J20" s="46" t="n">
        <x:v>0.19</x:v>
      </x:c>
      <x:c r="K20" s="46" t="n">
        <x:v>0.19</x:v>
      </x:c>
      <x:c r="L20" s="12"/>
      <x:c r="M20" s="12"/>
      <x:c r="N20" s="12"/>
      <x:c r="O20" s="12"/>
      <x:c r="P20" s="12"/>
    </x:row>
    <x:row r="21">
      <x:c r="A21" s="12" t="str">
        <x:v>D&amp;A &amp; Other/Revenue</x:v>
      </x:c>
      <x:c r="B21" s="46" t="n">
        <x:v>0.12</x:v>
      </x:c>
      <x:c r="C21" s="46" t="n">
        <x:v>0.128</x:v>
      </x:c>
      <x:c r="D21" s="46" t="n">
        <x:v>0.133</x:v>
      </x:c>
      <x:c r="E21" s="46" t="n">
        <x:v>0.133</x:v>
      </x:c>
      <x:c r="F21" s="46" t="n">
        <x:v>0.13</x:v>
      </x:c>
      <x:c r="G21" s="46" t="n">
        <x:v>0.125</x:v>
      </x:c>
      <x:c r="H21" s="46" t="n">
        <x:v>0.12</x:v>
      </x:c>
      <x:c r="I21" s="46" t="n">
        <x:v>0.115</x:v>
      </x:c>
      <x:c r="J21" s="46" t="n">
        <x:v>0.11</x:v>
      </x:c>
      <x:c r="K21" s="46" t="n">
        <x:v>0.105</x:v>
      </x:c>
      <x:c r="L21" s="12"/>
      <x:c r="M21" s="12"/>
      <x:c r="N21" s="12"/>
      <x:c r="O21" s="12"/>
      <x:c r="P21" s="12"/>
    </x:row>
    <x:row r="22">
      <x:c r="A22" s="12" t="str">
        <x:v>Cash CapEx/Revenue</x:v>
      </x:c>
      <x:c r="B22" s="46" t="n">
        <x:v>0.38</x:v>
      </x:c>
      <x:c r="C22" s="46" t="n">
        <x:v>0.36</x:v>
      </x:c>
      <x:c r="D22" s="46" t="n">
        <x:v>0.32</x:v>
      </x:c>
      <x:c r="E22" s="46" t="n">
        <x:v>0.28</x:v>
      </x:c>
      <x:c r="F22" s="46" t="n">
        <x:v>0.25</x:v>
      </x:c>
      <x:c r="G22" s="46" t="n">
        <x:v>0.22</x:v>
      </x:c>
      <x:c r="H22" s="46" t="n">
        <x:v>0.2</x:v>
      </x:c>
      <x:c r="I22" s="46" t="n">
        <x:v>0.18</x:v>
      </x:c>
      <x:c r="J22" s="46" t="n">
        <x:v>0.165</x:v>
      </x:c>
      <x:c r="K22" s="46" t="n">
        <x:v>0.15</x:v>
      </x:c>
      <x:c r="L22" s="12"/>
      <x:c r="M22" s="12"/>
      <x:c r="N22" s="12"/>
      <x:c r="O22" s="12"/>
      <x:c r="P22" s="12"/>
    </x:row>
    <x:row r="23">
      <x:c r="A23" s="12" t="str">
        <x:v>Operating NWC/Revenue</x:v>
      </x:c>
      <x:c r="B23" s="46" t="n">
        <x:v>-0.085</x:v>
      </x:c>
      <x:c r="C23" s="46" t="n">
        <x:v>-0.09</x:v>
      </x:c>
      <x:c r="D23" s="46" t="n">
        <x:v>-0.095</x:v>
      </x:c>
      <x:c r="E23" s="46" t="n">
        <x:v>-0.1</x:v>
      </x:c>
      <x:c r="F23" s="46" t="n">
        <x:v>-0.1</x:v>
      </x:c>
      <x:c r="G23" s="46" t="n">
        <x:v>-0.1</x:v>
      </x:c>
      <x:c r="H23" s="46" t="n">
        <x:v>-0.1</x:v>
      </x:c>
      <x:c r="I23" s="46" t="n">
        <x:v>-0.1</x:v>
      </x:c>
      <x:c r="J23" s="46" t="n">
        <x:v>-0.1</x:v>
      </x:c>
      <x:c r="K23" s="46" t="n">
        <x:v>-0.1</x:v>
      </x:c>
      <x:c r="L23" s="12"/>
      <x:c r="M23" s="12"/>
      <x:c r="N23" s="12"/>
      <x:c r="O23" s="12"/>
      <x:c r="P23" s="12"/>
    </x:row>
    <x:row r="24">
      <x:c r="A24" s="12" t="str">
        <x:v>Total CapEx/Revenue</x:v>
      </x:c>
      <x:c r="B24" s="46" t="n">
        <x:v>0.43</x:v>
      </x:c>
      <x:c r="C24" s="46" t="n">
        <x:v>0.4</x:v>
      </x:c>
      <x:c r="D24" s="46" t="n">
        <x:v>0.35</x:v>
      </x:c>
      <x:c r="E24" s="46" t="n">
        <x:v>0.3</x:v>
      </x:c>
      <x:c r="F24" s="46" t="n">
        <x:v>0.265</x:v>
      </x:c>
      <x:c r="G24" s="46" t="n">
        <x:v>0.235</x:v>
      </x:c>
      <x:c r="H24" s="46" t="n">
        <x:v>0.21</x:v>
      </x:c>
      <x:c r="I24" s="46" t="n">
        <x:v>0.19</x:v>
      </x:c>
      <x:c r="J24" s="46" t="n">
        <x:v>0.175</x:v>
      </x:c>
      <x:c r="K24" s="46" t="n">
        <x:v>0.16</x:v>
      </x:c>
      <x:c r="L24" s="12"/>
      <x:c r="M24" s="12"/>
      <x:c r="N24" s="12"/>
      <x:c r="O24" s="12"/>
      <x:c r="P24" s="12"/>
    </x:row>
    <x:row r="25">
      <x:c r="A25" s="12"/>
      <x:c r="B25" s="12"/>
      <x:c r="C25" s="12"/>
      <x:c r="D25" s="12"/>
      <x:c r="E25" s="12"/>
      <x:c r="F25" s="12"/>
      <x:c r="G25" s="12"/>
      <x:c r="H25" s="12"/>
      <x:c r="I25" s="12"/>
      <x:c r="J25" s="12"/>
      <x:c r="K25" s="12"/>
      <x:c r="L25" s="12"/>
      <x:c r="M25" s="12"/>
      <x:c r="N25" s="12"/>
      <x:c r="O25" s="12"/>
      <x:c r="P25" s="12"/>
    </x:row>
    <x:row r="26">
      <x:c r="A26" s="12"/>
      <x:c r="B26" s="12"/>
      <x:c r="C26" s="12"/>
      <x:c r="D26" s="12"/>
      <x:c r="E26" s="12"/>
      <x:c r="F26" s="12"/>
      <x:c r="G26" s="12"/>
      <x:c r="H26" s="12"/>
      <x:c r="I26" s="12"/>
      <x:c r="J26" s="12"/>
      <x:c r="K26" s="12"/>
      <x:c r="L26" s="12"/>
      <x:c r="M26" s="12"/>
      <x:c r="N26" s="12"/>
      <x:c r="O26" s="12"/>
      <x:c r="P26" s="12"/>
    </x:row>
    <x:row r="27" ht="20" customHeight="1">
      <x:c r="A27" s="27" t="str">
        <x:v>DCF &amp; WACC Assumptions</x:v>
      </x:c>
      <x:c r="B27" s="27"/>
      <x:c r="C27" s="27"/>
      <x:c r="D27" s="27"/>
      <x:c r="E27" s="27"/>
      <x:c r="F27" s="27"/>
      <x:c r="G27" s="27"/>
      <x:c r="H27" s="27"/>
      <x:c r="I27" s="27"/>
      <x:c r="J27" s="27"/>
      <x:c r="K27" s="27"/>
      <x:c r="L27" s="12"/>
      <x:c r="M27" s="12"/>
      <x:c r="N27" s="12"/>
      <x:c r="O27" s="12"/>
      <x:c r="P27" s="12"/>
    </x:row>
    <x:row r="28">
      <x:c r="A28" s="33" t="str">
        <x:v>Assumption</x:v>
      </x:c>
      <x:c r="B28" s="33" t="str">
        <x:v>Initial treatment</x:v>
      </x:c>
      <x:c r="C28" s="33" t="str">
        <x:v>Source ID / Basis</x:v>
      </x:c>
      <x:c r="D28" s="12"/>
      <x:c r="E28" s="12"/>
      <x:c r="F28" s="12"/>
      <x:c r="G28" s="12"/>
      <x:c r="H28" s="12"/>
      <x:c r="I28" s="12"/>
      <x:c r="J28" s="12"/>
      <x:c r="K28" s="12"/>
      <x:c r="L28" s="12"/>
      <x:c r="M28" s="12"/>
      <x:c r="N28" s="12"/>
      <x:c r="O28" s="12"/>
      <x:c r="P28" s="12"/>
    </x:row>
    <x:row r="29">
      <x:c r="A29" s="12" t="str">
        <x:v>Valuation Date</x:v>
      </x:c>
      <x:c r="B29" s="48" t="n">
        <x:v>46240</x:v>
      </x:c>
      <x:c r="C29" s="290" t="str">
        <x:v>Model anchor date</x:v>
      </x:c>
      <x:c r="D29" s="12"/>
      <x:c r="E29" s="12"/>
      <x:c r="F29" s="12"/>
      <x:c r="G29" s="12"/>
      <x:c r="H29" s="12"/>
      <x:c r="I29" s="12"/>
      <x:c r="J29" s="12"/>
      <x:c r="K29" s="12"/>
      <x:c r="L29" s="12"/>
      <x:c r="M29" s="12"/>
      <x:c r="N29" s="12"/>
      <x:c r="O29" s="12"/>
      <x:c r="P29" s="12"/>
    </x:row>
    <x:row r="30">
      <x:c r="A30" s="12" t="str">
        <x:v>Risk-Free Rate</x:v>
      </x:c>
      <x:c r="B30" s="54" t="n">
        <x:v>0.0469</x:v>
      </x:c>
      <x:c r="C30" s="290" t="str">
        <x:v>S08</x:v>
      </x:c>
      <x:c r="D30" s="12"/>
      <x:c r="E30" s="12"/>
      <x:c r="F30" s="12"/>
      <x:c r="G30" s="12"/>
      <x:c r="H30" s="12"/>
      <x:c r="I30" s="12"/>
      <x:c r="J30" s="12"/>
      <x:c r="K30" s="12"/>
      <x:c r="L30" s="12"/>
      <x:c r="M30" s="12"/>
      <x:c r="N30" s="12"/>
      <x:c r="O30" s="12"/>
      <x:c r="P30" s="12"/>
    </x:row>
    <x:row r="31">
      <x:c r="A31" s="12" t="str">
        <x:v>Equity Risk Premium</x:v>
      </x:c>
      <x:c r="B31" s="54" t="n">
        <x:v>0.045</x:v>
      </x:c>
      <x:c r="C31" s="290" t="str">
        <x:v>S09 / analyst assumption</x:v>
      </x:c>
      <x:c r="D31" s="12"/>
      <x:c r="E31" s="12"/>
      <x:c r="F31" s="12"/>
      <x:c r="G31" s="12"/>
      <x:c r="H31" s="12"/>
      <x:c r="I31" s="12"/>
      <x:c r="J31" s="12"/>
      <x:c r="K31" s="12"/>
      <x:c r="L31" s="12"/>
      <x:c r="M31" s="12"/>
      <x:c r="N31" s="12"/>
      <x:c r="O31" s="12"/>
      <x:c r="P31" s="12"/>
    </x:row>
    <x:row r="32">
      <x:c r="A32" s="12" t="str">
        <x:v>Levered Beta</x:v>
      </x:c>
      <x:c r="B32" s="54" t="n">
        <x:v>1.1</x:v>
      </x:c>
      <x:c r="C32" s="290" t="str">
        <x:v>S09 / analyst assumption</x:v>
      </x:c>
      <x:c r="D32" s="12"/>
      <x:c r="E32" s="12"/>
      <x:c r="F32" s="12"/>
      <x:c r="G32" s="12"/>
      <x:c r="H32" s="12"/>
      <x:c r="I32" s="12"/>
      <x:c r="J32" s="12"/>
      <x:c r="K32" s="12"/>
      <x:c r="L32" s="12"/>
      <x:c r="M32" s="12"/>
      <x:c r="N32" s="12"/>
      <x:c r="O32" s="12"/>
      <x:c r="P32" s="12"/>
    </x:row>
    <x:row r="33">
      <x:c r="A33" s="12" t="str">
        <x:v>Cost of Equity</x:v>
      </x:c>
      <x:c r="B33" s="38" t="n">
        <x:f>B30+(B32*B31)</x:f>
        <x:v>0.0964</x:v>
      </x:c>
      <x:c r="C33" s="290" t="str">
        <x:v>Formula</x:v>
      </x:c>
      <x:c r="D33" s="12"/>
      <x:c r="E33" s="12"/>
      <x:c r="F33" s="12"/>
      <x:c r="G33" s="12"/>
      <x:c r="H33" s="12"/>
      <x:c r="I33" s="12"/>
      <x:c r="J33" s="12"/>
      <x:c r="K33" s="12"/>
      <x:c r="L33" s="12"/>
      <x:c r="M33" s="12"/>
      <x:c r="N33" s="12"/>
      <x:c r="O33" s="12"/>
      <x:c r="P33" s="12"/>
    </x:row>
    <x:row r="34">
      <x:c r="A34" s="12" t="str">
        <x:v>Pre-Tax Cost of Debt</x:v>
      </x:c>
      <x:c r="B34" s="54" t="n">
        <x:v>0.045</x:v>
      </x:c>
      <x:c r="C34" s="290" t="str">
        <x:v>Analyst assumption</x:v>
      </x:c>
      <x:c r="D34" s="12"/>
      <x:c r="E34" s="12"/>
      <x:c r="F34" s="12"/>
      <x:c r="G34" s="12"/>
      <x:c r="H34" s="12"/>
      <x:c r="I34" s="12"/>
      <x:c r="J34" s="12"/>
      <x:c r="K34" s="12"/>
      <x:c r="L34" s="12"/>
      <x:c r="M34" s="12"/>
      <x:c r="N34" s="12"/>
      <x:c r="O34" s="12"/>
      <x:c r="P34" s="12"/>
    </x:row>
    <x:row r="35">
      <x:c r="A35" s="12" t="str">
        <x:v>Marginal Tax Rate</x:v>
      </x:c>
      <x:c r="B35" s="54" t="n">
        <x:v>0.2</x:v>
      </x:c>
      <x:c r="C35" s="290" t="str">
        <x:v>Analyst assumption</x:v>
      </x:c>
      <x:c r="D35" s="12"/>
      <x:c r="E35" s="12"/>
      <x:c r="F35" s="12"/>
      <x:c r="G35" s="12"/>
      <x:c r="H35" s="12"/>
      <x:c r="I35" s="12"/>
      <x:c r="J35" s="12"/>
      <x:c r="K35" s="12"/>
      <x:c r="L35" s="12"/>
      <x:c r="M35" s="12"/>
      <x:c r="N35" s="12"/>
      <x:c r="O35" s="12"/>
      <x:c r="P35" s="12"/>
    </x:row>
    <x:row r="36">
      <x:c r="A36" s="12" t="str">
        <x:v>After-Tax Cost of Debt</x:v>
      </x:c>
      <x:c r="B36" s="38" t="n">
        <x:f>B34*(1-B35)</x:f>
        <x:v>0.036</x:v>
      </x:c>
      <x:c r="C36" s="290" t="str">
        <x:v>Formula</x:v>
      </x:c>
      <x:c r="D36" s="12"/>
      <x:c r="E36" s="12"/>
      <x:c r="F36" s="12"/>
      <x:c r="G36" s="12"/>
      <x:c r="H36" s="12"/>
      <x:c r="I36" s="12"/>
      <x:c r="J36" s="12"/>
      <x:c r="K36" s="12"/>
      <x:c r="L36" s="12"/>
      <x:c r="M36" s="12"/>
      <x:c r="N36" s="12"/>
      <x:c r="O36" s="12"/>
      <x:c r="P36" s="12"/>
    </x:row>
    <x:row r="37">
      <x:c r="A37" s="12" t="str">
        <x:v>Current Share Price</x:v>
      </x:c>
      <x:c r="B37" s="56" t="n">
        <x:v>499.86</x:v>
      </x:c>
      <x:c r="C37" s="290" t="str">
        <x:v>S10</x:v>
      </x:c>
      <x:c r="D37" s="12"/>
      <x:c r="E37" s="12"/>
      <x:c r="F37" s="12"/>
      <x:c r="G37" s="12"/>
      <x:c r="H37" s="12"/>
      <x:c r="I37" s="12"/>
      <x:c r="J37" s="12"/>
      <x:c r="K37" s="12"/>
      <x:c r="L37" s="12"/>
      <x:c r="M37" s="12"/>
      <x:c r="N37" s="12"/>
      <x:c r="O37" s="12"/>
      <x:c r="P37" s="12"/>
    </x:row>
    <x:row r="38">
      <x:c r="A38" s="12" t="str">
        <x:v>Diluted Shares (FY2026 weighted-average proxy, millions)</x:v>
      </x:c>
      <x:c r="B38" s="58" t="n">
        <x:v>7453</x:v>
      </x:c>
      <x:c r="C38" s="290" t="str">
        <x:v>S01</x:v>
      </x:c>
      <x:c r="D38" s="12"/>
      <x:c r="E38" s="12"/>
      <x:c r="F38" s="12"/>
      <x:c r="G38" s="12"/>
      <x:c r="H38" s="12"/>
      <x:c r="I38" s="12"/>
      <x:c r="J38" s="12"/>
      <x:c r="K38" s="12"/>
      <x:c r="L38" s="12"/>
      <x:c r="M38" s="12"/>
      <x:c r="N38" s="12"/>
      <x:c r="O38" s="12"/>
      <x:c r="P38" s="12"/>
    </x:row>
    <x:row r="39">
      <x:c r="A39" s="12" t="str">
        <x:v>Current Market Capitalization</x:v>
      </x:c>
      <x:c r="B39" s="44" t="n">
        <x:f>B37*B38</x:f>
        <x:v>3725456.58</x:v>
      </x:c>
      <x:c r="C39" s="290" t="str">
        <x:v>Formula</x:v>
      </x:c>
      <x:c r="D39" s="12"/>
      <x:c r="E39" s="12"/>
      <x:c r="F39" s="12"/>
      <x:c r="G39" s="12"/>
      <x:c r="H39" s="12"/>
      <x:c r="I39" s="12"/>
      <x:c r="J39" s="12"/>
      <x:c r="K39" s="12"/>
      <x:c r="L39" s="12"/>
      <x:c r="M39" s="12"/>
      <x:c r="N39" s="12"/>
      <x:c r="O39" s="12"/>
      <x:c r="P39" s="12"/>
    </x:row>
    <x:row r="40">
      <x:c r="A40" s="12" t="str">
        <x:v>Current Portion of Long-Term Debt</x:v>
      </x:c>
      <x:c r="B40" s="58" t="n">
        <x:v>9227</x:v>
      </x:c>
      <x:c r="C40" s="290" t="str">
        <x:v>S01</x:v>
      </x:c>
      <x:c r="D40" s="12"/>
      <x:c r="E40" s="12"/>
      <x:c r="F40" s="12"/>
      <x:c r="G40" s="12"/>
      <x:c r="H40" s="12"/>
      <x:c r="I40" s="12"/>
      <x:c r="J40" s="12"/>
      <x:c r="K40" s="12"/>
      <x:c r="L40" s="12"/>
      <x:c r="M40" s="12"/>
      <x:c r="N40" s="12"/>
      <x:c r="O40" s="12"/>
      <x:c r="P40" s="12"/>
    </x:row>
    <x:row r="41">
      <x:c r="A41" s="12" t="str">
        <x:v>Long-Term Debt</x:v>
      </x:c>
      <x:c r="B41" s="58" t="n">
        <x:v>31067</x:v>
      </x:c>
      <x:c r="C41" s="290" t="str">
        <x:v>S01</x:v>
      </x:c>
      <x:c r="D41" s="12"/>
      <x:c r="E41" s="12"/>
      <x:c r="F41" s="12"/>
      <x:c r="G41" s="12"/>
      <x:c r="H41" s="12"/>
      <x:c r="I41" s="12"/>
      <x:c r="J41" s="12"/>
      <x:c r="K41" s="12"/>
      <x:c r="L41" s="12"/>
      <x:c r="M41" s="12"/>
      <x:c r="N41" s="12"/>
      <x:c r="O41" s="12"/>
      <x:c r="P41" s="12"/>
    </x:row>
    <x:row r="42">
      <x:c r="A42" s="12" t="str">
        <x:v>Finance Lease Liabilities</x:v>
      </x:c>
      <x:c r="B42" s="62" t="n">
        <x:f>'04_Invested_Capital'!H9</x:f>
        <x:v>66594</x:v>
      </x:c>
      <x:c r="C42" s="290" t="str">
        <x:v>S11</x:v>
      </x:c>
      <x:c r="D42" s="12"/>
      <x:c r="E42" s="12"/>
      <x:c r="F42" s="12"/>
      <x:c r="G42" s="12"/>
      <x:c r="H42" s="12"/>
      <x:c r="I42" s="12"/>
      <x:c r="J42" s="12"/>
      <x:c r="K42" s="12"/>
      <x:c r="L42" s="12"/>
      <x:c r="M42" s="12"/>
      <x:c r="N42" s="12"/>
      <x:c r="O42" s="12"/>
      <x:c r="P42" s="12"/>
    </x:row>
    <x:row r="43">
      <x:c r="A43" s="12" t="str">
        <x:v>Total Debt &amp; Lease Liabilities</x:v>
      </x:c>
      <x:c r="B43" s="44" t="n">
        <x:f>B40+B41+B42</x:f>
        <x:v>106888</x:v>
      </x:c>
      <x:c r="C43" s="290" t="str">
        <x:v>Formula</x:v>
      </x:c>
      <x:c r="D43" s="12"/>
      <x:c r="E43" s="12"/>
      <x:c r="F43" s="12"/>
      <x:c r="G43" s="12"/>
      <x:c r="H43" s="12"/>
      <x:c r="I43" s="12"/>
      <x:c r="J43" s="12"/>
      <x:c r="K43" s="12"/>
      <x:c r="L43" s="12"/>
      <x:c r="M43" s="12"/>
      <x:c r="N43" s="12"/>
      <x:c r="O43" s="12"/>
      <x:c r="P43" s="12"/>
    </x:row>
    <x:row r="44">
      <x:c r="A44" s="12" t="str">
        <x:v>Equity Weight</x:v>
      </x:c>
      <x:c r="B44" s="38" t="n">
        <x:f>B39/(B39+B43)</x:f>
        <x:v>0.9721089798245647</x:v>
      </x:c>
      <x:c r="C44" s="290" t="str">
        <x:v>Formula</x:v>
      </x:c>
      <x:c r="D44" s="12"/>
      <x:c r="E44" s="12"/>
      <x:c r="F44" s="12"/>
      <x:c r="G44" s="12"/>
      <x:c r="H44" s="12"/>
      <x:c r="I44" s="12"/>
      <x:c r="J44" s="12"/>
      <x:c r="K44" s="12"/>
      <x:c r="L44" s="12"/>
      <x:c r="M44" s="12"/>
      <x:c r="N44" s="12"/>
      <x:c r="O44" s="12"/>
      <x:c r="P44" s="12"/>
    </x:row>
    <x:row r="45">
      <x:c r="A45" s="12" t="str">
        <x:v>Debt Weight</x:v>
      </x:c>
      <x:c r="B45" s="38" t="n">
        <x:f>B43/(B39+B43)</x:f>
        <x:v>0.02789102017543527</x:v>
      </x:c>
      <x:c r="C45" s="290" t="str">
        <x:v>Formula</x:v>
      </x:c>
      <x:c r="D45" s="12"/>
      <x:c r="E45" s="12"/>
      <x:c r="F45" s="12"/>
      <x:c r="G45" s="12"/>
      <x:c r="H45" s="12"/>
      <x:c r="I45" s="12"/>
      <x:c r="J45" s="12"/>
      <x:c r="K45" s="12"/>
      <x:c r="L45" s="12"/>
      <x:c r="M45" s="12"/>
      <x:c r="N45" s="12"/>
      <x:c r="O45" s="12"/>
      <x:c r="P45" s="12"/>
    </x:row>
    <x:row r="46">
      <x:c r="A46" s="12" t="str">
        <x:v>WACC</x:v>
      </x:c>
      <x:c r="B46" s="38" t="n">
        <x:f>(B44*B33)+(B45*B36)</x:f>
        <x:v>0.0947153823814037</x:v>
      </x:c>
      <x:c r="C46" s="290" t="str">
        <x:v>Formula</x:v>
      </x:c>
      <x:c r="D46" s="12"/>
      <x:c r="E46" s="12"/>
      <x:c r="F46" s="12"/>
      <x:c r="G46" s="12"/>
      <x:c r="H46" s="12"/>
      <x:c r="I46" s="12"/>
      <x:c r="J46" s="12"/>
      <x:c r="K46" s="12"/>
      <x:c r="L46" s="12"/>
      <x:c r="M46" s="12"/>
      <x:c r="N46" s="12"/>
      <x:c r="O46" s="12"/>
      <x:c r="P46" s="12"/>
    </x:row>
    <x:row r="47">
      <x:c r="A47" s="12" t="str">
        <x:v>Enterprise Value Date</x:v>
      </x:c>
      <x:c r="B47" s="60" t="n">
        <x:v>46240</x:v>
      </x:c>
      <x:c r="C47" s="290" t="str">
        <x:v>Model anchor date</x:v>
      </x:c>
      <x:c r="D47" s="12"/>
      <x:c r="E47" s="12"/>
      <x:c r="F47" s="12"/>
      <x:c r="G47" s="12"/>
      <x:c r="H47" s="12"/>
      <x:c r="I47" s="12"/>
      <x:c r="J47" s="12"/>
      <x:c r="K47" s="12"/>
      <x:c r="L47" s="12"/>
      <x:c r="M47" s="12"/>
      <x:c r="N47" s="12"/>
      <x:c r="O47" s="12"/>
      <x:c r="P47" s="12"/>
    </x:row>
    <x:row r="48">
      <x:c r="A48" s="12" t="str">
        <x:v>Terminal Growth Rate</x:v>
      </x:c>
      <x:c r="B48" s="54" t="n">
        <x:v>0.03</x:v>
      </x:c>
      <x:c r="C48" s="290" t="str">
        <x:v>Analyst assumption</x:v>
      </x:c>
      <x:c r="D48" s="12"/>
      <x:c r="E48" s="12"/>
      <x:c r="F48" s="12"/>
      <x:c r="G48" s="12"/>
      <x:c r="H48" s="12"/>
      <x:c r="I48" s="12"/>
      <x:c r="J48" s="12"/>
      <x:c r="K48" s="12"/>
      <x:c r="L48" s="12"/>
      <x:c r="M48" s="12"/>
      <x:c r="N48" s="12"/>
      <x:c r="O48" s="12"/>
      <x:c r="P48" s="12"/>
    </x:row>
    <x:row r="49">
      <x:c r="A49" s="12" t="str">
        <x:v>WACC &gt; Terminal Growth Check</x:v>
      </x:c>
      <x:c r="B49" s="12" t="str">
        <x:f>IF(B46&gt;B48,"PASS","FAIL")</x:f>
        <x:v>PASS</x:v>
      </x:c>
      <x:c r="C49" s="290" t="str">
        <x:v>Formula</x:v>
      </x:c>
      <x:c r="D49" s="12"/>
      <x:c r="E49" s="12"/>
      <x:c r="F49" s="12"/>
      <x:c r="G49" s="12"/>
      <x:c r="H49" s="12"/>
      <x:c r="I49" s="12"/>
      <x:c r="J49" s="12"/>
      <x:c r="K49" s="12"/>
      <x:c r="L49" s="12"/>
      <x:c r="M49" s="12"/>
      <x:c r="N49" s="12"/>
      <x:c r="O49" s="12"/>
      <x:c r="P49" s="12"/>
    </x:row>
    <x:row r="50">
      <x:c r="A50" s="12"/>
      <x:c r="B50" s="12"/>
      <x:c r="C50" s="12"/>
      <x:c r="D50" s="12"/>
      <x:c r="E50" s="12"/>
      <x:c r="F50" s="12"/>
      <x:c r="G50" s="12"/>
      <x:c r="H50" s="12"/>
      <x:c r="I50" s="12"/>
      <x:c r="J50" s="12"/>
      <x:c r="K50" s="12"/>
      <x:c r="L50" s="12"/>
      <x:c r="M50" s="12"/>
      <x:c r="N50" s="12"/>
      <x:c r="O50" s="12"/>
      <x:c r="P50" s="12"/>
    </x:row>
    <x:row r="51">
      <x:c r="A51" s="12"/>
      <x:c r="B51" s="12"/>
      <x:c r="C51" s="12"/>
      <x:c r="D51" s="12"/>
      <x:c r="E51" s="12"/>
      <x:c r="F51" s="12"/>
      <x:c r="G51" s="12"/>
      <x:c r="H51" s="12"/>
      <x:c r="I51" s="12"/>
      <x:c r="J51" s="12"/>
      <x:c r="K51" s="12"/>
      <x:c r="L51" s="12"/>
      <x:c r="M51" s="12"/>
      <x:c r="N51" s="12"/>
      <x:c r="O51" s="12"/>
      <x:c r="P51" s="12"/>
    </x:row>
  </x:sheetData>
  <x:mergeCells>
    <x:mergeCell ref="A1:K1"/>
    <x:mergeCell ref="A6:K6"/>
    <x:mergeCell ref="A18:K18"/>
    <x:mergeCell ref="A27:K27"/>
  </x:mergeCells>
  <x:conditionalFormatting sqref="B49:B49">
    <x:cfRule type="expression" dxfId="0" priority="1">
      <x:formula>B49="PASS"</x:formula>
    </x:cfRule>
    <x:cfRule type="expression" dxfId="1" priority="2">
      <x:formula>OR(B49="FAIL",B49="CHECK")</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8" hidden="0" customWidth="1"/>
    <x:col min="3" max="3" width="16" hidden="0" customWidth="1"/>
    <x:col min="4" max="4" width="28" hidden="0" customWidth="1"/>
    <x:col min="5" max="5" width="70" hidden="0" customWidth="1"/>
    <x:col min="6" max="6" width="18" hidden="0" customWidth="1"/>
    <x:col min="7" max="7" width="12" hidden="0" customWidth="1"/>
    <x:col min="8" max="8" width="12" hidden="0" customWidth="1"/>
  </x:cols>
  <x:sheetData>
    <x:row r="1" ht="28" customHeight="1">
      <x:c r="A1" s="5" t="str">
        <x:v>Microsoft DCF Model — Guide, Sources &amp; Audit Trail</x:v>
      </x:c>
      <x:c r="B1" s="5"/>
      <x:c r="C1" s="5"/>
      <x:c r="D1" s="5"/>
      <x:c r="E1" s="5"/>
      <x:c r="F1" s="5"/>
      <x:c r="G1" s="5"/>
      <x:c r="H1" s="5"/>
    </x:row>
    <x:row r="3">
      <x:c r="A3" s="80" t="str">
        <x:v>Model Author</x:v>
      </x:c>
      <x:c r="B3" t="str">
        <x:v>Yagni Patel</x:v>
      </x:c>
    </x:row>
    <x:row r="4">
      <x:c r="A4" s="80" t="str">
        <x:v>Model Purpose</x:v>
      </x:c>
      <x:c r="B4" t="str">
        <x:v>Evaluate whether Microsoft's AI and cloud investments can generate sufficient long-term free cash flow growth and returns to justify the market valuation.</x:v>
      </x:c>
    </x:row>
    <x:row r="5">
      <x:c r="A5" s="80" t="str">
        <x:v>Valuation Date</x:v>
      </x:c>
      <x:c r="B5" t="str">
        <x:v>August 6, 2026</x:v>
      </x:c>
    </x:row>
    <x:row r="6">
      <x:c r="A6" s="80" t="str">
        <x:v>Historical Period</x:v>
      </x:c>
      <x:c r="B6" t="str">
        <x:v>FY2021A–FY2026A</x:v>
      </x:c>
    </x:row>
    <x:row r="7">
      <x:c r="A7" s="80" t="str">
        <x:v>Forecast Period</x:v>
      </x:c>
      <x:c r="B7" t="str">
        <x:v>FY2027E–FY2036E</x:v>
      </x:c>
    </x:row>
    <x:row r="8">
      <x:c r="A8" s="80" t="str">
        <x:v>Valuation Methods</x:v>
      </x:c>
      <x:c r="B8" t="str">
        <x:v>10-year DCF, reverse DCF, and WACC/terminal-growth sensitivity</x:v>
      </x:c>
    </x:row>
    <x:row r="9">
      <x:c r="A9" s="80" t="str">
        <x:v>Primary Valuation Cash Flow</x:v>
      </x:c>
      <x:c r="B9" t="str">
        <x:v>Lease-adjusted UFCF</x:v>
      </x:c>
    </x:row>
    <x:row r="10">
      <x:c r="A10" s="80" t="str">
        <x:v>Disclaimer</x:v>
      </x:c>
      <x:c r="B10" t="str">
        <x:v>Educational portfolio project; not investment advice.</x:v>
      </x:c>
    </x:row>
    <x:row r="11">
      <x:c r="A11" s="80" t="str">
        <x:v>Model Status</x:v>
      </x:c>
      <x:c r="B11" s="82" t="str">
        <x:f>IF(AND('00_Assumptions'!B49="PASS",'07_DCF'!B44="PASS",'07_DCF'!B46="PASS",'08_Reverse_DCF'!B76="PASS",'08_Reverse_DCF'!B77="PASS",'08_Reverse_DCF'!B78="PASS",'08_Reverse_DCF'!B79="PASS",'09_Sensitivity_Analysis'!B12="PASS",'06_Consolidated_Forecast'!B77="PASS"),"PASS","CHECK")</x:f>
        <x:v>PASS</x:v>
      </x:c>
    </x:row>
    <x:row r="12" ht="20" customHeight="1">
      <x:c r="A12" s="66" t="str">
        <x:v>Model Color Convention</x:v>
      </x:c>
      <x:c r="B12" s="66"/>
      <x:c r="C12" s="66"/>
      <x:c r="D12" s="66"/>
      <x:c r="E12" s="66"/>
      <x:c r="F12" s="66"/>
      <x:c r="G12" s="66"/>
      <x:c r="H12" s="66"/>
    </x:row>
    <x:row r="13">
      <x:c r="A13" s="82" t="str">
        <x:v>Blue font</x:v>
      </x:c>
      <x:c r="B13" t="str">
        <x:v>Hardcoded inputs and assumptions</x:v>
      </x:c>
    </x:row>
    <x:row r="14">
      <x:c r="A14" s="82" t="str">
        <x:v>Green font</x:v>
      </x:c>
      <x:c r="B14" t="str">
        <x:v>Links to other worksheets</x:v>
      </x:c>
    </x:row>
    <x:row r="15">
      <x:c r="A15" s="82" t="str">
        <x:v>Black font</x:v>
      </x:c>
      <x:c r="B15" t="str">
        <x:v>Formulas and calculations</x:v>
      </x:c>
    </x:row>
    <x:row r="16">
      <x:c r="A16" s="82" t="str">
        <x:v>Yellow fill</x:v>
      </x:c>
      <x:c r="B16" t="str">
        <x:v>Key assumptions requiring review or periodic update</x:v>
      </x:c>
    </x:row>
    <x:row r="17">
      <x:c r="A17" s="82" t="str">
        <x:v>Red parentheses</x:v>
      </x:c>
      <x:c r="B17" t="str">
        <x:v>Negative values</x:v>
      </x:c>
    </x:row>
    <x:row r="19" ht="20" customHeight="1">
      <x:c r="A19" s="66" t="str">
        <x:v>Primary Source Registry</x:v>
      </x:c>
      <x:c r="B19" s="66"/>
      <x:c r="C19" s="66"/>
      <x:c r="D19" s="66"/>
      <x:c r="E19" s="66"/>
      <x:c r="F19" s="66"/>
      <x:c r="G19" s="66"/>
      <x:c r="H19" s="66"/>
    </x:row>
    <x:row r="20">
      <x:c r="A20" s="74" t="str">
        <x:v>Source ID</x:v>
      </x:c>
      <x:c r="B20" s="74" t="str">
        <x:v>Data / Assumption</x:v>
      </x:c>
      <x:c r="C20" s="74" t="str">
        <x:v>Period</x:v>
      </x:c>
      <x:c r="D20" s="74" t="str">
        <x:v>Primary Source</x:v>
      </x:c>
      <x:c r="E20" s="74" t="str">
        <x:v>URL</x:v>
      </x:c>
      <x:c r="F20" s="74" t="str">
        <x:v>Used In</x:v>
      </x:c>
    </x:row>
    <x:row r="21">
      <x:c r="A21" s="84" t="str">
        <x:v>S01</x:v>
      </x:c>
      <x:c r="B21" s="84" t="str">
        <x:v>FY2026 financial statements, segment results, cash flows, and diluted shares</x:v>
      </x:c>
      <x:c r="C21" s="84" t="str">
        <x:v>FY2026</x:v>
      </x:c>
      <x:c r="D21" s="84" t="str">
        <x:v>Microsoft Investor Relations</x:v>
      </x:c>
      <x:c r="E21" s="84" t="str">
        <x:v>https://www.microsoft.com/en-us/investor/earnings/fy-2026-q4/press-release-webcast</x:v>
      </x:c>
      <x:c r="F21" s="84" t="str">
        <x:v>02, 04, 05, 06, 07</x:v>
      </x:c>
    </x:row>
    <x:row r="22">
      <x:c r="A22" s="84" t="str">
        <x:v>S02</x:v>
      </x:c>
      <x:c r="B22" s="84" t="str">
        <x:v>FY2025 annual report and segment recast</x:v>
      </x:c>
      <x:c r="C22" s="84" t="str">
        <x:v>FY2025</x:v>
      </x:c>
      <x:c r="D22" s="84" t="str">
        <x:v>Microsoft Annual Report</x:v>
      </x:c>
      <x:c r="E22" s="84" t="str">
        <x:v>https://www.microsoft.com/investor/reports/ar25/index.html</x:v>
      </x:c>
      <x:c r="F22" s="84" t="str">
        <x:v>02, 04, 05, 06</x:v>
      </x:c>
    </x:row>
    <x:row r="23">
      <x:c r="A23" s="84" t="str">
        <x:v>S03</x:v>
      </x:c>
      <x:c r="B23" s="84" t="str">
        <x:v>FY2024 annual report</x:v>
      </x:c>
      <x:c r="C23" s="84" t="str">
        <x:v>FY2024</x:v>
      </x:c>
      <x:c r="D23" s="84" t="str">
        <x:v>Microsoft Annual Report</x:v>
      </x:c>
      <x:c r="E23" s="84" t="str">
        <x:v>https://www.microsoft.com/investor/reports/ar24/index.html</x:v>
      </x:c>
      <x:c r="F23" s="84" t="str">
        <x:v>02, 04, 06</x:v>
      </x:c>
    </x:row>
    <x:row r="24">
      <x:c r="A24" s="84" t="str">
        <x:v>S04</x:v>
      </x:c>
      <x:c r="B24" s="84" t="str">
        <x:v>FY2023 annual report</x:v>
      </x:c>
      <x:c r="C24" s="84" t="str">
        <x:v>FY2023</x:v>
      </x:c>
      <x:c r="D24" s="84" t="str">
        <x:v>Microsoft Annual Report</x:v>
      </x:c>
      <x:c r="E24" s="84" t="str">
        <x:v>https://www.microsoft.com/investor/reports/ar23/index.html</x:v>
      </x:c>
      <x:c r="F24" s="84" t="str">
        <x:v>02, 04, 06</x:v>
      </x:c>
    </x:row>
    <x:row r="25">
      <x:c r="A25" s="84" t="str">
        <x:v>S05</x:v>
      </x:c>
      <x:c r="B25" s="84" t="str">
        <x:v>FY2022 annual report</x:v>
      </x:c>
      <x:c r="C25" s="84" t="str">
        <x:v>FY2022</x:v>
      </x:c>
      <x:c r="D25" s="84" t="str">
        <x:v>Microsoft Annual Report</x:v>
      </x:c>
      <x:c r="E25" s="84" t="str">
        <x:v>https://www.microsoft.com/investor/reports/ar22/index.html</x:v>
      </x:c>
      <x:c r="F25" s="84" t="str">
        <x:v>02, 04</x:v>
      </x:c>
    </x:row>
    <x:row r="26">
      <x:c r="A26" s="84" t="str">
        <x:v>S06</x:v>
      </x:c>
      <x:c r="B26" s="84" t="str">
        <x:v>FY2021 annual report</x:v>
      </x:c>
      <x:c r="C26" s="84" t="str">
        <x:v>FY2021</x:v>
      </x:c>
      <x:c r="D26" s="84" t="str">
        <x:v>Microsoft Annual Report</x:v>
      </x:c>
      <x:c r="E26" s="84" t="str">
        <x:v>https://www.microsoft.com/investor/reports/ar21/index.html</x:v>
      </x:c>
      <x:c r="F26" s="84" t="str">
        <x:v>02, 04</x:v>
      </x:c>
    </x:row>
    <x:row r="27">
      <x:c r="A27" s="84" t="str">
        <x:v>S07</x:v>
      </x:c>
      <x:c r="B27" s="84" t="str">
        <x:v>FY2020 opening invested-capital balances</x:v>
      </x:c>
      <x:c r="C27" s="84" t="str">
        <x:v>FY2020</x:v>
      </x:c>
      <x:c r="D27" s="84" t="str">
        <x:v>Microsoft Annual Report</x:v>
      </x:c>
      <x:c r="E27" s="84" t="str">
        <x:v>https://www.microsoft.com/investor/reports/ar20/index.html</x:v>
      </x:c>
      <x:c r="F27" s="84" t="str">
        <x:v>04</x:v>
      </x:c>
    </x:row>
    <x:row r="28">
      <x:c r="A28" s="84" t="str">
        <x:v>S08</x:v>
      </x:c>
      <x:c r="B28" s="84" t="str">
        <x:v>10-year U.S. Treasury constant-maturity rate on valuation date</x:v>
      </x:c>
      <x:c r="C28" s="84" t="str">
        <x:v>08/06/2026</x:v>
      </x:c>
      <x:c r="D28" s="84" t="str">
        <x:v>U.S. Department of the Treasury</x:v>
      </x:c>
      <x:c r="E28" s="84" t="str">
        <x:v>https://home.treasury.gov/resource-center/data-chart-center/interest-rates/TextView?field_tdr_date_value=2026&amp;type=daily_treasury_yield_curve</x:v>
      </x:c>
      <x:c r="F28" s="84" t="str">
        <x:v>00, 07, 09</x:v>
      </x:c>
    </x:row>
    <x:row r="29">
      <x:c r="A29" s="84" t="str">
        <x:v>S09</x:v>
      </x:c>
      <x:c r="B29" s="84" t="str">
        <x:v>Equity risk premium and beta methodology reference</x:v>
      </x:c>
      <x:c r="C29" s="84" t="str">
        <x:v>2026</x:v>
      </x:c>
      <x:c r="D29" s="84" t="str">
        <x:v>NYU Stern / Aswath Damodaran</x:v>
      </x:c>
      <x:c r="E29" s="84" t="str">
        <x:v>https://pages.stern.nyu.edu/adamodar/New_Home_Page/datacurrent.html</x:v>
      </x:c>
      <x:c r="F29" s="84" t="str">
        <x:v>00</x:v>
      </x:c>
    </x:row>
    <x:row r="30">
      <x:c r="A30" s="84" t="str">
        <x:v>S10</x:v>
      </x:c>
      <x:c r="B30" s="84" t="str">
        <x:v>MSFT closing share price of $499.86</x:v>
      </x:c>
      <x:c r="C30" s="84" t="str">
        <x:v>08/06/2026</x:v>
      </x:c>
      <x:c r="D30" s="84" t="str">
        <x:v>MarketWatch market data</x:v>
      </x:c>
      <x:c r="E30" s="84" t="str">
        <x:v>https://www.marketwatch.com/investing/stock/msft/download-data</x:v>
      </x:c>
      <x:c r="F30" s="84" t="str">
        <x:v>00, 07, 08, 09, 10</x:v>
      </x:c>
    </x:row>
    <x:row r="31">
      <x:c r="A31" s="84" t="str">
        <x:v>S11</x:v>
      </x:c>
      <x:c r="B31" s="84" t="str">
        <x:v>FY2026 finance lease additions and liabilities</x:v>
      </x:c>
      <x:c r="C31" s="84" t="str">
        <x:v>FY2026</x:v>
      </x:c>
      <x:c r="D31" s="84" t="str">
        <x:v>Microsoft FY2026 Form 10-K and SEC filings</x:v>
      </x:c>
      <x:c r="E31" s="84" t="str">
        <x:v>https://www.sec.gov/edgar/browse/?CIK=789019&amp;owner=exclude</x:v>
      </x:c>
      <x:c r="F31" s="84" t="str">
        <x:v>04, 06, 07</x:v>
      </x:c>
    </x:row>
    <x:row r="32" ht="42" customHeight="1">
      <x:c r="A32" s="84" t="str">
        <x:v>S12</x:v>
      </x:c>
      <x:c r="B32" s="84" t="str">
        <x:v>FY2026 Azure revenue, Copilot paid seats, and commercial remaining performance obligation</x:v>
      </x:c>
      <x:c r="C32" s="84" t="str">
        <x:v>FY2026</x:v>
      </x:c>
      <x:c r="D32" s="84" t="str">
        <x:v>Microsoft Investor Relations - FY2026 Q4</x:v>
      </x:c>
      <x:c r="E32" s="84" t="str">
        <x:v>https://www.microsoft.com/en-us/investor/earnings/fy-2026-q4/press-release-webcast</x:v>
      </x:c>
      <x:c r="F32" s="84" t="str">
        <x:v>11, investment memo</x:v>
      </x:c>
    </x:row>
    <x:row r="33" ht="20" customHeight="1">
      <x:c r="A33" s="66" t="str">
        <x:v>Material Audit Corrections Applied</x:v>
      </x:c>
      <x:c r="B33" s="66"/>
      <x:c r="C33" s="66"/>
      <x:c r="D33" s="66"/>
      <x:c r="E33" s="66"/>
      <x:c r="F33" s="66"/>
      <x:c r="G33" s="66"/>
      <x:c r="H33" s="66"/>
    </x:row>
    <x:row r="34">
      <x:c r="A34" s="74" t="str">
        <x:v>Change ID</x:v>
      </x:c>
      <x:c r="B34" s="74" t="str">
        <x:v>Area</x:v>
      </x:c>
      <x:c r="C34" s="74" t="str">
        <x:v>Action</x:v>
      </x:c>
      <x:c r="D34" s="74" t="str">
        <x:v>Impact</x:v>
      </x:c>
    </x:row>
    <x:row r="35">
      <x:c r="A35" s="84" t="str">
        <x:v>A01</x:v>
      </x:c>
      <x:c r="B35" s="84" t="str">
        <x:v>Risk-free rate</x:v>
      </x:c>
      <x:c r="C35" s="84" t="str">
        <x:v>Updated 4.10% to 4.69%</x:v>
      </x:c>
      <x:c r="D35" s="84" t="str">
        <x:v>Official 10-year Treasury rate on August 6, 2026; WACC increased to approximately 9.47%.</x:v>
      </x:c>
    </x:row>
    <x:row r="36">
      <x:c r="A36" s="84" t="str">
        <x:v>A02</x:v>
      </x:c>
      <x:c r="B36" s="84" t="str">
        <x:v>Base DCF valuation</x:v>
      </x:c>
      <x:c r="C36" s="84" t="str">
        <x:v>Recalculated</x:v>
      </x:c>
      <x:c r="D36" s="84" t="str">
        <x:v>Intrinsic value changed from approximately $409.40 to approximately $367.85 per share.</x:v>
      </x:c>
    </x:row>
    <x:row r="37">
      <x:c r="A37" s="84" t="str">
        <x:v>A03</x:v>
      </x:c>
      <x:c r="B37" s="84" t="str">
        <x:v>Reverse DCF</x:v>
      </x:c>
      <x:c r="C37" s="84" t="str">
        <x:v>Re-solved</x:v>
      </x:c>
      <x:c r="D37" s="84" t="str">
        <x:v>Required near-term revenue-growth uplift changed from 4.76 pp to approximately 7.41 pp.</x:v>
      </x:c>
    </x:row>
    <x:row r="38">
      <x:c r="A38" s="84" t="str">
        <x:v>A04</x:v>
      </x:c>
      <x:c r="B38" s="84" t="str">
        <x:v>Capital allocation</x:v>
      </x:c>
      <x:c r="C38" s="84" t="str">
        <x:v>Standardized definitions</x:v>
      </x:c>
      <x:c r="D38" s="84" t="str">
        <x:v>Replaced mixed declared/authorized figures with cash spent on share repurchases and cash dividends paid across all years.</x:v>
      </x:c>
    </x:row>
    <x:row r="39">
      <x:c r="A39" s="84" t="str">
        <x:v>A05</x:v>
      </x:c>
      <x:c r="B39" s="84" t="str">
        <x:v>Segment comparability</x:v>
      </x:c>
      <x:c r="C39" s="84" t="str">
        <x:v>Clarified</x:v>
      </x:c>
      <x:c r="D39" s="84" t="str">
        <x:v>The FY2023A–FY2026A segment series uses the FY2025 recast basis; the FY2021A–FY2022A series remains on the legacy basis and is shown separately.</x:v>
      </x:c>
    </x:row>
    <x:row r="40">
      <x:c r="A40" s="84" t="str">
        <x:v>A06</x:v>
      </x:c>
      <x:c r="B40" s="84" t="str">
        <x:v>Forecast integrity</x:v>
      </x:c>
      <x:c r="C40" s="84" t="str">
        <x:v>Formula-driven</x:v>
      </x:c>
      <x:c r="D40" s="84" t="str">
        <x:v>Replaced hardcoded forecast outputs with formulas linked to centralized assumptions.</x:v>
      </x:c>
    </x:row>
    <x:row r="41">
      <x:c r="A41" s="84" t="str">
        <x:v>A07</x:v>
      </x:c>
      <x:c r="B41" s="84" t="str">
        <x:v>DCF convention</x:v>
      </x:c>
      <x:c r="C41" s="84" t="str">
        <x:v>Corrected</x:v>
      </x:c>
      <x:c r="D41" s="84" t="str">
        <x:v>Used Actual/Actual YEARFRAC basis consistently for explicit and terminal discount periods.</x:v>
      </x:c>
    </x:row>
    <x:row r="42">
      <x:c r="A42" s="84" t="str">
        <x:v>A08</x:v>
      </x:c>
      <x:c r="B42" s="84" t="str">
        <x:v>Naming and documentation</x:v>
      </x:c>
      <x:c r="C42" s="84" t="str">
        <x:v>Polished</x:v>
      </x:c>
      <x:c r="D42" s="84" t="str">
        <x:v>Corrected spelling, labels, units, methodology notes, and share-count description.</x:v>
      </x:c>
    </x:row>
    <x:row r="43">
      <x:c r="A43" t="str">
        <x:v>A09</x:v>
      </x:c>
      <x:c r="B43" t="str">
        <x:v>Author attribution</x:v>
      </x:c>
      <x:c r="C43" t="str">
        <x:v>Corrected</x:v>
      </x:c>
      <x:c r="D43" t="str">
        <x:v>Updated workbook, README, investment memo, metadata, and public assets to Yagni Patel.</x:v>
      </x:c>
    </x:row>
    <x:row r="44" ht="20" customHeight="1">
      <x:c r="A44" s="66" t="str">
        <x:v>Presentation Notes</x:v>
      </x:c>
      <x:c r="B44" s="66"/>
      <x:c r="C44" s="66"/>
      <x:c r="D44" s="66"/>
      <x:c r="E44" s="66"/>
      <x:c r="F44" s="66"/>
      <x:c r="G44" s="66"/>
      <x:c r="H44" s="66"/>
    </x:row>
    <x:row r="45" ht="32" customHeight="1">
      <x:c r="A45" s="570" t="str">
        <x:v>1. Begin with 10_Dashboard, then discuss 03_Business_Quality, 05_Segment_Drivers, 07_DCF, and 08_Reverse_DCF.</x:v>
      </x:c>
      <x:c r="B45" s="570"/>
      <x:c r="C45" s="570"/>
      <x:c r="D45" s="570"/>
      <x:c r="E45" s="570"/>
      <x:c r="F45" s="570"/>
      <x:c r="G45" s="84"/>
      <x:c r="H45" s="84"/>
    </x:row>
    <x:row r="46" ht="32" customHeight="1">
      <x:c r="A46" s="570" t="str">
        <x:v>2. Emphasize that the central investment question is whether AI/cloud reinvestment earns adequate incremental returns.</x:v>
      </x:c>
      <x:c r="B46" s="570"/>
      <x:c r="C46" s="570"/>
      <x:c r="D46" s="570"/>
      <x:c r="E46" s="570"/>
      <x:c r="F46" s="570"/>
      <x:c r="G46" s="84"/>
      <x:c r="H46" s="84"/>
    </x:row>
    <x:row r="47" ht="32" customHeight="1">
      <x:c r="A47" s="570" t="str">
        <x:v>3. Distinguish cash-based UFCF from lease-adjusted UFCF; the DCF uses lease-adjusted UFCF.</x:v>
      </x:c>
      <x:c r="B47" s="570"/>
      <x:c r="C47" s="570"/>
      <x:c r="D47" s="570"/>
      <x:c r="E47" s="570"/>
      <x:c r="F47" s="570"/>
      <x:c r="G47" s="84"/>
      <x:c r="H47" s="84"/>
    </x:row>
    <x:row r="48" ht="32" customHeight="1">
      <x:c r="A48" s="570" t="str">
        <x:v>4. Explain that the current market price requires a stronger growth trajectory than the base case while holding margins and reinvestment unchanged; the solved uplift is approximately 7.41 percentage points in FY2027E.</x:v>
      </x:c>
      <x:c r="B48" s="570"/>
      <x:c r="C48" s="570"/>
      <x:c r="D48" s="570"/>
      <x:c r="E48" s="570"/>
      <x:c r="F48" s="570"/>
      <x:c r="G48" s="84"/>
      <x:c r="H48" s="84"/>
    </x:row>
    <x:row r="49" ht="42" customHeight="1">
      <x:c r="A49" s="570" t="str">
        <x:v>5. Use 11_Buffett_5_Tenets to separate business quality from purchase-price discipline; the framework is analyst-created, not an official Berkshire checklist.</x:v>
      </x:c>
      <x:c r="B49" s="570"/>
      <x:c r="C49" s="570"/>
      <x:c r="D49" s="570"/>
      <x:c r="E49" s="570"/>
      <x:c r="F49" s="570"/>
    </x:row>
    <x:row r="50" ht="42" customHeight="1">
      <x:c r="A50" s="570" t="str">
        <x:v>6. The final investment memo is the primary narrative deliverable; the workbook remains the auditable calculation engine.</x:v>
      </x:c>
      <x:c r="B50" s="570"/>
      <x:c r="C50" s="570"/>
      <x:c r="D50" s="570"/>
      <x:c r="E50" s="570"/>
      <x:c r="F50" s="570"/>
    </x:row>
  </x:sheetData>
  <x:mergeCells>
    <x:mergeCell ref="A1:H1"/>
    <x:mergeCell ref="A12:H12"/>
    <x:mergeCell ref="A19:H19"/>
    <x:mergeCell ref="A33:H33"/>
    <x:mergeCell ref="A44:H44"/>
    <x:mergeCell ref="A45:F45"/>
    <x:mergeCell ref="A46:F46"/>
    <x:mergeCell ref="A47:F47"/>
    <x:mergeCell ref="A48:F48"/>
    <x:mergeCell ref="A49:F49"/>
    <x:mergeCell ref="A50:F50"/>
  </x:mergeCells>
  <x:conditionalFormatting sqref="B11:B11">
    <x:cfRule type="expression" dxfId="2" priority="1">
      <x:formula>B11="PASS"</x:formula>
    </x:cfRule>
    <x:cfRule type="expression" dxfId="3" priority="2">
      <x:formula>OR(B11="FAIL",B11="CHECK")</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39"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s>
  <x:sheetData>
    <x:row r="1" ht="28" customHeight="1">
      <x:c r="A1" s="16" t="str">
        <x:v>Microsoft Historical Financials</x:v>
      </x:c>
      <x:c r="B1" s="16"/>
      <x:c r="C1" s="16"/>
      <x:c r="D1" s="16"/>
      <x:c r="E1" s="16"/>
      <x:c r="F1" s="16"/>
      <x:c r="G1" s="16"/>
    </x:row>
    <x:row r="2" ht="20" customHeight="1">
      <x:c r="A2" s="22" t="str">
        <x:v>USD in millions, except percentages</x:v>
      </x:c>
      <x:c r="B2" s="22"/>
      <x:c r="C2" s="22"/>
      <x:c r="D2" s="22"/>
      <x:c r="E2" s="22"/>
      <x:c r="F2" s="22"/>
      <x:c r="G2" s="22"/>
    </x:row>
    <x:row r="3">
      <x:c r="A3" s="33" t="str">
        <x:v>Metric</x:v>
      </x:c>
      <x:c r="B3" s="33" t="str">
        <x:v>FY2021A</x:v>
      </x:c>
      <x:c r="C3" s="33" t="str">
        <x:v>FY2022A</x:v>
      </x:c>
      <x:c r="D3" s="33" t="str">
        <x:v>FY2023A</x:v>
      </x:c>
      <x:c r="E3" s="33" t="str">
        <x:v>FY2024A</x:v>
      </x:c>
      <x:c r="F3" s="33" t="str">
        <x:v>FY2025A</x:v>
      </x:c>
      <x:c r="G3" s="33" t="str">
        <x:v>FY2026A</x:v>
      </x:c>
    </x:row>
    <x:row r="4">
      <x:c r="A4" s="12" t="str">
        <x:v>Revenue</x:v>
      </x:c>
      <x:c r="B4" s="51" t="n">
        <x:v>168088</x:v>
      </x:c>
      <x:c r="C4" s="51" t="n">
        <x:v>198270</x:v>
      </x:c>
      <x:c r="D4" s="51" t="n">
        <x:v>211915</x:v>
      </x:c>
      <x:c r="E4" s="51" t="n">
        <x:v>245122</x:v>
      </x:c>
      <x:c r="F4" s="51" t="n">
        <x:v>281724</x:v>
      </x:c>
      <x:c r="G4" s="51" t="n">
        <x:v>331839</x:v>
      </x:c>
    </x:row>
    <x:row r="5">
      <x:c r="A5" s="12" t="str">
        <x:v>Gross Profit</x:v>
      </x:c>
      <x:c r="B5" s="51" t="n">
        <x:v>115856</x:v>
      </x:c>
      <x:c r="C5" s="51" t="n">
        <x:v>135620</x:v>
      </x:c>
      <x:c r="D5" s="51" t="n">
        <x:v>146052</x:v>
      </x:c>
      <x:c r="E5" s="51" t="n">
        <x:v>171008</x:v>
      </x:c>
      <x:c r="F5" s="51" t="n">
        <x:v>193893</x:v>
      </x:c>
      <x:c r="G5" s="51" t="n">
        <x:v>225465</x:v>
      </x:c>
    </x:row>
    <x:row r="6">
      <x:c r="A6" s="12" t="str">
        <x:v>Operating Income</x:v>
      </x:c>
      <x:c r="B6" s="51" t="n">
        <x:v>69916</x:v>
      </x:c>
      <x:c r="C6" s="51" t="n">
        <x:v>83383</x:v>
      </x:c>
      <x:c r="D6" s="51" t="n">
        <x:v>88523</x:v>
      </x:c>
      <x:c r="E6" s="51" t="n">
        <x:v>109433</x:v>
      </x:c>
      <x:c r="F6" s="51" t="n">
        <x:v>128528</x:v>
      </x:c>
      <x:c r="G6" s="51" t="n">
        <x:v>155237</x:v>
      </x:c>
    </x:row>
    <x:row r="7">
      <x:c r="A7" s="12" t="str">
        <x:v>Net Income</x:v>
      </x:c>
      <x:c r="B7" s="51" t="n">
        <x:v>61271</x:v>
      </x:c>
      <x:c r="C7" s="51" t="n">
        <x:v>72738</x:v>
      </x:c>
      <x:c r="D7" s="51" t="n">
        <x:v>72361</x:v>
      </x:c>
      <x:c r="E7" s="51" t="n">
        <x:v>88136</x:v>
      </x:c>
      <x:c r="F7" s="51" t="n">
        <x:v>101832</x:v>
      </x:c>
      <x:c r="G7" s="51" t="n">
        <x:v>133749</x:v>
      </x:c>
    </x:row>
    <x:row r="8">
      <x:c r="A8" s="12"/>
      <x:c r="B8" s="12"/>
      <x:c r="C8" s="12"/>
      <x:c r="D8" s="12"/>
      <x:c r="E8" s="12"/>
      <x:c r="F8" s="12"/>
      <x:c r="G8" s="12"/>
    </x:row>
    <x:row r="9">
      <x:c r="A9" s="12" t="str">
        <x:v>Revenue Growth</x:v>
      </x:c>
      <x:c r="B9" s="38"/>
      <x:c r="C9" s="38" t="n">
        <x:f>C4/B4-1</x:f>
        <x:v>0.17956070629670173</x:v>
      </x:c>
      <x:c r="D9" s="38" t="n">
        <x:f>D4/C4-1</x:f>
        <x:v>0.06882029555656421</x:v>
      </x:c>
      <x:c r="E9" s="38" t="n">
        <x:f>E4/D4-1</x:f>
        <x:v>0.1566996201307127</x:v>
      </x:c>
      <x:c r="F9" s="38" t="n">
        <x:f>F4/E4-1</x:f>
        <x:v>0.14932156232406713</x:v>
      </x:c>
      <x:c r="G9" s="38" t="n">
        <x:f>G4/F4-1</x:f>
        <x:v>0.17788686799846665</x:v>
      </x:c>
    </x:row>
    <x:row r="10">
      <x:c r="A10" s="12" t="str">
        <x:v>Gross Margin</x:v>
      </x:c>
      <x:c r="B10" s="38" t="n">
        <x:f>B5/B4</x:f>
        <x:v>0.689258007710247</x:v>
      </x:c>
      <x:c r="C10" s="38" t="n">
        <x:f>C5/C4</x:f>
        <x:v>0.684016744842891</x:v>
      </x:c>
      <x:c r="D10" s="38" t="n">
        <x:f>D5/D4</x:f>
        <x:v>0.6892008588349102</x:v>
      </x:c>
      <x:c r="E10" s="38" t="n">
        <x:f>E5/E4</x:f>
        <x:v>0.6976444382797138</x:v>
      </x:c>
      <x:c r="F10" s="38" t="n">
        <x:f>F5/F4</x:f>
        <x:v>0.6882374238616519</x:v>
      </x:c>
      <x:c r="G10" s="38" t="n">
        <x:f>G5/G4</x:f>
        <x:v>0.6794409337058032</x:v>
      </x:c>
    </x:row>
    <x:row r="11">
      <x:c r="A11" s="12" t="str">
        <x:v>Operating Margin</x:v>
      </x:c>
      <x:c r="B11" s="38" t="n">
        <x:f>B6/B4</x:f>
        <x:v>0.415948788729713</x:v>
      </x:c>
      <x:c r="C11" s="38" t="n">
        <x:f>C6/C4</x:f>
        <x:v>0.4205527815604983</x:v>
      </x:c>
      <x:c r="D11" s="38" t="n">
        <x:f>D6/D4</x:f>
        <x:v>0.417728806361041</x:v>
      </x:c>
      <x:c r="E11" s="38" t="n">
        <x:f>E6/E4</x:f>
        <x:v>0.44644299573273716</x:v>
      </x:c>
      <x:c r="F11" s="38" t="n">
        <x:f>F6/F4</x:f>
        <x:v>0.4562195624085985</x:v>
      </x:c>
      <x:c r="G11" s="38" t="n">
        <x:f>G6/G4</x:f>
        <x:v>0.4678081840892722</x:v>
      </x:c>
    </x:row>
    <x:row r="12">
      <x:c r="A12" s="12" t="str">
        <x:v>Net Income Margin</x:v>
      </x:c>
      <x:c r="B12" s="38" t="n">
        <x:f>B7/B4</x:f>
        <x:v>0.36451739564989766</x:v>
      </x:c>
      <x:c r="C12" s="38" t="n">
        <x:f>C7/C4</x:f>
        <x:v>0.3668633681343622</x:v>
      </x:c>
      <x:c r="D12" s="38" t="n">
        <x:f>D7/D4</x:f>
        <x:v>0.3414623787839464</x:v>
      </x:c>
      <x:c r="E12" s="38" t="n">
        <x:f>E7/E4</x:f>
        <x:v>0.35955972944084985</x:v>
      </x:c>
      <x:c r="F12" s="38" t="n">
        <x:f>F7/F4</x:f>
        <x:v>0.3614601524896707</x:v>
      </x:c>
      <x:c r="G12" s="38" t="n">
        <x:f>G7/G4</x:f>
        <x:v>0.4030538905915218</x:v>
      </x:c>
    </x:row>
    <x:row r="13">
      <x:c r="A13" s="12"/>
      <x:c r="B13" s="12"/>
      <x:c r="C13" s="12"/>
      <x:c r="D13" s="12"/>
      <x:c r="E13" s="12"/>
      <x:c r="F13" s="12"/>
      <x:c r="G13" s="12"/>
    </x:row>
    <x:row r="14">
      <x:c r="A14" s="12"/>
      <x:c r="B14" s="12"/>
      <x:c r="C14" s="12"/>
      <x:c r="D14" s="12"/>
      <x:c r="E14" s="12"/>
      <x:c r="F14" s="12"/>
      <x:c r="G14" s="12"/>
    </x:row>
    <x:row r="15">
      <x:c r="A15" s="33" t="str">
        <x:v>Cash Flow Analysis</x:v>
      </x:c>
      <x:c r="B15" s="33" t="str">
        <x:v>FY2021A</x:v>
      </x:c>
      <x:c r="C15" s="33" t="str">
        <x:v>FY2022A</x:v>
      </x:c>
      <x:c r="D15" s="33" t="str">
        <x:v>FY2023A</x:v>
      </x:c>
      <x:c r="E15" s="33" t="str">
        <x:v>FY2024A</x:v>
      </x:c>
      <x:c r="F15" s="33" t="str">
        <x:v>FY2025A</x:v>
      </x:c>
      <x:c r="G15" s="33" t="str">
        <x:v>FY2026A</x:v>
      </x:c>
    </x:row>
    <x:row r="16">
      <x:c r="A16" s="12" t="str">
        <x:v>Cash Flow from Operations (CFO)</x:v>
      </x:c>
      <x:c r="B16" s="51" t="n">
        <x:v>76740</x:v>
      </x:c>
      <x:c r="C16" s="51" t="n">
        <x:v>89035</x:v>
      </x:c>
      <x:c r="D16" s="51" t="n">
        <x:v>87582</x:v>
      </x:c>
      <x:c r="E16" s="51" t="n">
        <x:v>118548</x:v>
      </x:c>
      <x:c r="F16" s="51" t="n">
        <x:v>136162</x:v>
      </x:c>
      <x:c r="G16" s="51" t="n">
        <x:v>182935</x:v>
      </x:c>
    </x:row>
    <x:row r="17">
      <x:c r="A17" s="12" t="str">
        <x:v>Cash CapEx</x:v>
      </x:c>
      <x:c r="B17" s="51" t="n">
        <x:v>20622</x:v>
      </x:c>
      <x:c r="C17" s="51" t="n">
        <x:v>23886</x:v>
      </x:c>
      <x:c r="D17" s="51" t="n">
        <x:v>28107</x:v>
      </x:c>
      <x:c r="E17" s="51" t="n">
        <x:v>44477</x:v>
      </x:c>
      <x:c r="F17" s="51" t="n">
        <x:v>64551</x:v>
      </x:c>
      <x:c r="G17" s="51" t="n">
        <x:v>115948</x:v>
      </x:c>
    </x:row>
    <x:row r="18">
      <x:c r="A18" s="90" t="str">
        <x:v>Cash FCF</x:v>
      </x:c>
      <x:c r="B18" s="91" t="n">
        <x:f>B16-B17</x:f>
        <x:v>56118</x:v>
      </x:c>
      <x:c r="C18" s="91" t="n">
        <x:f>C16-C17</x:f>
        <x:v>65149</x:v>
      </x:c>
      <x:c r="D18" s="91" t="n">
        <x:f>D16-D17</x:f>
        <x:v>59475</x:v>
      </x:c>
      <x:c r="E18" s="91" t="n">
        <x:f>E16-E17</x:f>
        <x:v>74071</x:v>
      </x:c>
      <x:c r="F18" s="91" t="n">
        <x:f>F16-F17</x:f>
        <x:v>71611</x:v>
      </x:c>
      <x:c r="G18" s="91" t="n">
        <x:f>G16-G17</x:f>
        <x:v>66987</x:v>
      </x:c>
    </x:row>
    <x:row r="19">
      <x:c r="A19" s="12"/>
      <x:c r="B19" s="12"/>
      <x:c r="C19" s="12"/>
      <x:c r="D19" s="12"/>
      <x:c r="E19" s="12"/>
      <x:c r="F19" s="12"/>
      <x:c r="G19" s="12"/>
    </x:row>
    <x:row r="20" ht="20" customHeight="1">
      <x:c r="A20" s="27" t="str">
        <x:v>Capital Allocation — Cash Deployment</x:v>
      </x:c>
      <x:c r="B20" s="27"/>
      <x:c r="C20" s="27"/>
      <x:c r="D20" s="27"/>
      <x:c r="E20" s="27"/>
      <x:c r="F20" s="27"/>
      <x:c r="G20" s="27"/>
    </x:row>
    <x:row r="21">
      <x:c r="A21" s="33" t="str">
        <x:v>Metric</x:v>
      </x:c>
      <x:c r="B21" s="33" t="str">
        <x:v>FY2021A</x:v>
      </x:c>
      <x:c r="C21" s="33" t="str">
        <x:v>FY2022A</x:v>
      </x:c>
      <x:c r="D21" s="33" t="str">
        <x:v>FY2023A</x:v>
      </x:c>
      <x:c r="E21" s="33" t="str">
        <x:v>FY2024A</x:v>
      </x:c>
      <x:c r="F21" s="33" t="str">
        <x:v>FY2025A</x:v>
      </x:c>
      <x:c r="G21" s="33" t="str">
        <x:v>FY2026A</x:v>
      </x:c>
    </x:row>
    <x:row r="22">
      <x:c r="A22" s="12" t="str">
        <x:v>Cash Share Repurchases</x:v>
      </x:c>
      <x:c r="B22" s="51" t="n">
        <x:v>27385</x:v>
      </x:c>
      <x:c r="C22" s="51" t="n">
        <x:v>32696</x:v>
      </x:c>
      <x:c r="D22" s="51" t="n">
        <x:v>22245</x:v>
      </x:c>
      <x:c r="E22" s="51" t="n">
        <x:v>17254</x:v>
      </x:c>
      <x:c r="F22" s="51" t="n">
        <x:v>18420</x:v>
      </x:c>
      <x:c r="G22" s="51" t="n">
        <x:v>22271</x:v>
      </x:c>
    </x:row>
    <x:row r="23">
      <x:c r="A23" s="12" t="str">
        <x:v>Cash Dividends Paid</x:v>
      </x:c>
      <x:c r="B23" s="51" t="n">
        <x:v>16521</x:v>
      </x:c>
      <x:c r="C23" s="51" t="n">
        <x:v>18135</x:v>
      </x:c>
      <x:c r="D23" s="51" t="n">
        <x:v>19800</x:v>
      </x:c>
      <x:c r="E23" s="51" t="n">
        <x:v>21771</x:v>
      </x:c>
      <x:c r="F23" s="51" t="n">
        <x:v>24082</x:v>
      </x:c>
      <x:c r="G23" s="51" t="n">
        <x:v>26445</x:v>
      </x:c>
    </x:row>
    <x:row r="24">
      <x:c r="A24" s="12" t="str">
        <x:v>Cash CapEx</x:v>
      </x:c>
      <x:c r="B24" s="51" t="n">
        <x:v>20622</x:v>
      </x:c>
      <x:c r="C24" s="51" t="n">
        <x:v>23886</x:v>
      </x:c>
      <x:c r="D24" s="51" t="n">
        <x:v>28107</x:v>
      </x:c>
      <x:c r="E24" s="51" t="n">
        <x:v>44477</x:v>
      </x:c>
      <x:c r="F24" s="51" t="n">
        <x:v>64551</x:v>
      </x:c>
      <x:c r="G24" s="51" t="n">
        <x:v>115948</x:v>
      </x:c>
    </x:row>
    <x:row r="25">
      <x:c r="A25" s="12"/>
      <x:c r="B25" s="12"/>
      <x:c r="C25" s="12"/>
      <x:c r="D25" s="12"/>
      <x:c r="E25" s="12"/>
      <x:c r="F25" s="12"/>
      <x:c r="G25" s="12"/>
    </x:row>
    <x:row r="26">
      <x:c r="A26" s="33" t="str">
        <x:v>Cash Flow &amp; Reinvestment</x:v>
      </x:c>
      <x:c r="B26" s="33" t="str">
        <x:v>FY2021A</x:v>
      </x:c>
      <x:c r="C26" s="33" t="str">
        <x:v>FY2022A</x:v>
      </x:c>
      <x:c r="D26" s="33" t="str">
        <x:v>FY2023A</x:v>
      </x:c>
      <x:c r="E26" s="33" t="str">
        <x:v>FY2024A</x:v>
      </x:c>
      <x:c r="F26" s="33" t="str">
        <x:v>FY2025A</x:v>
      </x:c>
      <x:c r="G26" s="33" t="str">
        <x:v>FY2026A</x:v>
      </x:c>
    </x:row>
    <x:row r="27">
      <x:c r="A27" s="12" t="str">
        <x:v>Cash CapEx/Revenue</x:v>
      </x:c>
      <x:c r="B27" s="38" t="n">
        <x:f>B24/B4</x:f>
        <x:v>0.12268573604302509</x:v>
      </x:c>
      <x:c r="C27" s="38" t="n">
        <x:f>C24/C4</x:f>
        <x:v>0.12047208352246935</x:v>
      </x:c>
      <x:c r="D27" s="38" t="n">
        <x:f>D24/D4</x:f>
        <x:v>0.13263336715192411</x:v>
      </x:c>
      <x:c r="E27" s="38" t="n">
        <x:f>E24/E4</x:f>
        <x:v>0.18144842160230415</x:v>
      </x:c>
      <x:c r="F27" s="38" t="n">
        <x:f>F24/F4</x:f>
        <x:v>0.22912850875324786</x:v>
      </x:c>
      <x:c r="G27" s="38" t="n">
        <x:f>G24/G4</x:f>
        <x:v>0.34941040685392616</x:v>
      </x:c>
    </x:row>
    <x:row r="28">
      <x:c r="A28" s="12" t="str">
        <x:v>CFO/Net Income</x:v>
      </x:c>
      <x:c r="B28" s="38" t="n">
        <x:f>B16/B7</x:f>
        <x:v>1.2524685413980512</x:v>
      </x:c>
      <x:c r="C28" s="38" t="n">
        <x:f>C16/C7</x:f>
        <x:v>1.224050702521378</x:v>
      </x:c>
      <x:c r="D28" s="38" t="n">
        <x:f>D16/D7</x:f>
        <x:v>1.2103481156976825</x:v>
      </x:c>
      <x:c r="E28" s="38" t="n">
        <x:f>E16/E7</x:f>
        <x:v>1.345057638195516</x:v>
      </x:c>
      <x:c r="F28" s="38" t="n">
        <x:f>F16/F7</x:f>
        <x:v>1.3371238903291696</x:v>
      </x:c>
      <x:c r="G28" s="38" t="n">
        <x:f>G16/G7</x:f>
        <x:v>1.367748543914347</x:v>
      </x:c>
    </x:row>
    <x:row r="29">
      <x:c r="A29" s="12" t="str">
        <x:v>Cash FCF/Net Income</x:v>
      </x:c>
      <x:c r="B29" s="38" t="n">
        <x:f>B18/B7</x:f>
        <x:v>0.9158982226501934</x:v>
      </x:c>
      <x:c r="C29" s="38" t="n">
        <x:f>C18/C7</x:f>
        <x:v>0.8956666391707223</x:v>
      </x:c>
      <x:c r="D29" s="38" t="n">
        <x:f>D18/D7</x:f>
        <x:v>0.8219206478627991</x:v>
      </x:c>
      <x:c r="E29" s="38" t="n">
        <x:f>E18/E7</x:f>
        <x:v>0.8404170826903876</x:v>
      </x:c>
      <x:c r="F29" s="38" t="n">
        <x:f>F18/F7</x:f>
        <x:v>0.7032268834943829</x:v>
      </x:c>
      <x:c r="G29" s="38" t="n">
        <x:f>G18/G7</x:f>
        <x:v>0.5008411277841329</x:v>
      </x:c>
    </x:row>
    <x:row r="30">
      <x:c r="A30" s="12" t="str">
        <x:v>CFO/Revenue</x:v>
      </x:c>
      <x:c r="B30" s="38" t="n">
        <x:f>B16/B4</x:f>
        <x:v>0.4565465708438437</x:v>
      </x:c>
      <x:c r="C30" s="38" t="n">
        <x:f>C16/C4</x:f>
        <x:v>0.44905936349422504</x:v>
      </x:c>
      <x:c r="D30" s="38" t="n">
        <x:f>D16/D4</x:f>
        <x:v>0.4132883467427978</x:v>
      </x:c>
      <x:c r="E30" s="38" t="n">
        <x:f>E16/E4</x:f>
        <x:v>0.48362856047192826</x:v>
      </x:c>
      <x:c r="F30" s="38" t="n">
        <x:f>F16/F4</x:f>
        <x:v>0.48331700529596344</x:v>
      </x:c>
      <x:c r="G30" s="38" t="n">
        <x:f>G16/G4</x:f>
        <x:v>0.5512763719755664</x:v>
      </x:c>
    </x:row>
    <x:row r="31">
      <x:c r="A31" s="12" t="str">
        <x:v>Cash FCF Margin</x:v>
      </x:c>
      <x:c r="B31" s="38" t="n">
        <x:f>B18/B4</x:f>
        <x:v>0.33386083480081863</x:v>
      </x:c>
      <x:c r="C31" s="38" t="n">
        <x:f>C18/C4</x:f>
        <x:v>0.3285872799717557</x:v>
      </x:c>
      <x:c r="D31" s="38" t="n">
        <x:f>D18/D4</x:f>
        <x:v>0.2806549795908737</x:v>
      </x:c>
      <x:c r="E31" s="38" t="n">
        <x:f>E18/E4</x:f>
        <x:v>0.3021801388696241</x:v>
      </x:c>
      <x:c r="F31" s="38" t="n">
        <x:f>F18/F4</x:f>
        <x:v>0.2541884965427156</x:v>
      </x:c>
      <x:c r="G31" s="38" t="n">
        <x:f>G18/G4</x:f>
        <x:v>0.20186596512164032</x:v>
      </x:c>
    </x:row>
    <x:row r="32">
      <x:c r="A32" s="12" t="str">
        <x:v>Cash CapEx/CFO</x:v>
      </x:c>
      <x:c r="B32" s="38" t="n">
        <x:f>B24/B16</x:f>
        <x:v>0.26872556684910087</x:v>
      </x:c>
      <x:c r="C32" s="38" t="n">
        <x:f>C24/C16</x:f>
        <x:v>0.2682765204694783</x:v>
      </x:c>
      <x:c r="D32" s="38" t="n">
        <x:f>D24/D16</x:f>
        <x:v>0.3209221072823183</x:v>
      </x:c>
      <x:c r="E32" s="38" t="n">
        <x:f>E24/E16</x:f>
        <x:v>0.3751813611364173</x:v>
      </x:c>
      <x:c r="F32" s="38" t="n">
        <x:f>F24/F16</x:f>
        <x:v>0.47407499889837107</x:v>
      </x:c>
      <x:c r="G32" s="38" t="n">
        <x:f>G24/G16</x:f>
        <x:v>0.6338207560062317</x:v>
      </x:c>
    </x:row>
    <x:row r="33">
      <x:c r="A33" s="12"/>
      <x:c r="B33" s="12"/>
      <x:c r="C33" s="12"/>
      <x:c r="D33" s="12"/>
      <x:c r="E33" s="12"/>
      <x:c r="F33" s="12"/>
      <x:c r="G33" s="12"/>
    </x:row>
    <x:row r="34" ht="20" customHeight="1">
      <x:c r="A34" s="27" t="str">
        <x:v>Segment Analysis</x:v>
      </x:c>
      <x:c r="B34" s="27"/>
      <x:c r="C34" s="27"/>
      <x:c r="D34" s="27"/>
      <x:c r="E34" s="27"/>
      <x:c r="F34" s="27"/>
      <x:c r="G34" s="27"/>
    </x:row>
    <x:row r="35">
      <x:c r="A35" s="33" t="str">
        <x:v>Segment Revenue</x:v>
      </x:c>
      <x:c r="B35" s="33" t="str">
        <x:v>FY2021A</x:v>
      </x:c>
      <x:c r="C35" s="33" t="str">
        <x:v>FY2022A</x:v>
      </x:c>
      <x:c r="D35" s="110" t="str">
        <x:v>FY2023A</x:v>
      </x:c>
      <x:c r="E35" s="33" t="str">
        <x:v>FY2024A</x:v>
      </x:c>
      <x:c r="F35" s="33" t="str">
        <x:v>FY2025A</x:v>
      </x:c>
      <x:c r="G35" s="33" t="str">
        <x:v>FY2026A</x:v>
      </x:c>
    </x:row>
    <x:row r="36">
      <x:c r="A36" s="12" t="str">
        <x:v>Productivity &amp; Business Processes</x:v>
      </x:c>
      <x:c r="B36" s="51" t="n">
        <x:v>53915</x:v>
      </x:c>
      <x:c r="C36" s="51" t="n">
        <x:v>63364</x:v>
      </x:c>
      <x:c r="D36" s="111" t="n">
        <x:v>94151</x:v>
      </x:c>
      <x:c r="E36" s="51" t="n">
        <x:v>106820</x:v>
      </x:c>
      <x:c r="F36" s="51" t="n">
        <x:v>120810</x:v>
      </x:c>
      <x:c r="G36" s="51" t="n">
        <x:v>139996</x:v>
      </x:c>
    </x:row>
    <x:row r="37">
      <x:c r="A37" s="12" t="str">
        <x:v>Intelligent Cloud</x:v>
      </x:c>
      <x:c r="B37" s="51" t="n">
        <x:v>60080</x:v>
      </x:c>
      <x:c r="C37" s="51" t="n">
        <x:v>75251</x:v>
      </x:c>
      <x:c r="D37" s="111" t="n">
        <x:v>72944</x:v>
      </x:c>
      <x:c r="E37" s="51" t="n">
        <x:v>87464</x:v>
      </x:c>
      <x:c r="F37" s="51" t="n">
        <x:v>106265</x:v>
      </x:c>
      <x:c r="G37" s="51" t="n">
        <x:v>137791</x:v>
      </x:c>
    </x:row>
    <x:row r="38">
      <x:c r="A38" s="12" t="str">
        <x:v>More Personal Computing</x:v>
      </x:c>
      <x:c r="B38" s="51" t="n">
        <x:v>54093</x:v>
      </x:c>
      <x:c r="C38" s="51" t="n">
        <x:v>59655</x:v>
      </x:c>
      <x:c r="D38" s="111" t="n">
        <x:v>44820</x:v>
      </x:c>
      <x:c r="E38" s="51" t="n">
        <x:v>50838</x:v>
      </x:c>
      <x:c r="F38" s="51" t="n">
        <x:v>54649</x:v>
      </x:c>
      <x:c r="G38" s="51" t="n">
        <x:v>54052</x:v>
      </x:c>
    </x:row>
    <x:row r="39">
      <x:c r="A39" s="90" t="str">
        <x:v>Total Microsoft Revenue</x:v>
      </x:c>
      <x:c r="B39" s="104" t="n">
        <x:v>168088</x:v>
      </x:c>
      <x:c r="C39" s="104" t="n">
        <x:v>198270</x:v>
      </x:c>
      <x:c r="D39" s="112" t="n">
        <x:v>211915</x:v>
      </x:c>
      <x:c r="E39" s="104" t="n">
        <x:v>245122</x:v>
      </x:c>
      <x:c r="F39" s="104" t="n">
        <x:v>281724</x:v>
      </x:c>
      <x:c r="G39" s="104" t="n">
        <x:v>331839</x:v>
      </x:c>
    </x:row>
    <x:row r="40">
      <x:c r="A40" s="12"/>
      <x:c r="B40" s="105"/>
      <x:c r="C40" s="105"/>
      <x:c r="D40" s="113"/>
      <x:c r="E40" s="105"/>
      <x:c r="F40" s="105"/>
      <x:c r="G40" s="105"/>
    </x:row>
    <x:row r="41">
      <x:c r="A41" s="33" t="str">
        <x:v>Segment Operating Income</x:v>
      </x:c>
      <x:c r="B41" s="106" t="str">
        <x:v>FY2021A</x:v>
      </x:c>
      <x:c r="C41" s="106" t="str">
        <x:v>FY2022A</x:v>
      </x:c>
      <x:c r="D41" s="114" t="str">
        <x:v>FY2023A</x:v>
      </x:c>
      <x:c r="E41" s="106" t="str">
        <x:v>FY2024A</x:v>
      </x:c>
      <x:c r="F41" s="106" t="str">
        <x:v>FY2025A</x:v>
      </x:c>
      <x:c r="G41" s="106" t="str">
        <x:v>FY2026A</x:v>
      </x:c>
    </x:row>
    <x:row r="42">
      <x:c r="A42" s="12" t="str">
        <x:v>Productivity &amp; Business Processes</x:v>
      </x:c>
      <x:c r="B42" s="51" t="n">
        <x:v>24351</x:v>
      </x:c>
      <x:c r="C42" s="51" t="n">
        <x:v>29687</x:v>
      </x:c>
      <x:c r="D42" s="111" t="n">
        <x:v>50074</x:v>
      </x:c>
      <x:c r="E42" s="51" t="n">
        <x:v>59661</x:v>
      </x:c>
      <x:c r="F42" s="51" t="n">
        <x:v>69773</x:v>
      </x:c>
      <x:c r="G42" s="51" t="n">
        <x:v>83879</x:v>
      </x:c>
    </x:row>
    <x:row r="43">
      <x:c r="A43" s="12" t="str">
        <x:v>Intelligent Cloud</x:v>
      </x:c>
      <x:c r="B43" s="51" t="n">
        <x:v>26126</x:v>
      </x:c>
      <x:c r="C43" s="51" t="n">
        <x:v>32721</x:v>
      </x:c>
      <x:c r="D43" s="111" t="n">
        <x:v>28411</x:v>
      </x:c>
      <x:c r="E43" s="51" t="n">
        <x:v>37813</x:v>
      </x:c>
      <x:c r="F43" s="51" t="n">
        <x:v>44589</x:v>
      </x:c>
      <x:c r="G43" s="51" t="n">
        <x:v>56972</x:v>
      </x:c>
    </x:row>
    <x:row r="44">
      <x:c r="A44" s="12" t="str">
        <x:v>More Personal Computing</x:v>
      </x:c>
      <x:c r="B44" s="51" t="n">
        <x:v>19439</x:v>
      </x:c>
      <x:c r="C44" s="51" t="n">
        <x:v>20975</x:v>
      </x:c>
      <x:c r="D44" s="111" t="n">
        <x:v>10038</x:v>
      </x:c>
      <x:c r="E44" s="51" t="n">
        <x:v>11959</x:v>
      </x:c>
      <x:c r="F44" s="51" t="n">
        <x:v>14166</x:v>
      </x:c>
      <x:c r="G44" s="51" t="n">
        <x:v>14386</x:v>
      </x:c>
    </x:row>
    <x:row r="45">
      <x:c r="A45" s="90" t="str">
        <x:v>Total Microsoft Operating Income</x:v>
      </x:c>
      <x:c r="B45" s="104" t="n">
        <x:v>69916</x:v>
      </x:c>
      <x:c r="C45" s="104" t="n">
        <x:v>83383</x:v>
      </x:c>
      <x:c r="D45" s="112" t="n">
        <x:v>88523</x:v>
      </x:c>
      <x:c r="E45" s="104" t="n">
        <x:v>109433</x:v>
      </x:c>
      <x:c r="F45" s="104" t="n">
        <x:v>128528</x:v>
      </x:c>
      <x:c r="G45" s="104" t="n">
        <x:v>155237</x:v>
      </x:c>
    </x:row>
    <x:row r="46">
      <x:c r="A46" s="12"/>
      <x:c r="B46" s="12"/>
      <x:c r="C46" s="12"/>
      <x:c r="D46" s="115"/>
      <x:c r="E46" s="12"/>
      <x:c r="F46" s="12"/>
      <x:c r="G46" s="12"/>
    </x:row>
    <x:row r="47">
      <x:c r="A47" s="12" t="str">
        <x:v>PBP Revenue Growth</x:v>
      </x:c>
      <x:c r="B47" s="38"/>
      <x:c r="C47" s="38" t="n">
        <x:f>C36/B36-1</x:f>
        <x:v>0.17525734953167027</x:v>
      </x:c>
      <x:c r="D47" s="116"/>
      <x:c r="E47" s="38" t="n">
        <x:f>E36/D36-1</x:f>
        <x:v>0.1345604401440239</x:v>
      </x:c>
      <x:c r="F47" s="38" t="n">
        <x:f>F36/E36-1</x:f>
        <x:v>0.13096798352368477</x:v>
      </x:c>
      <x:c r="G47" s="38" t="n">
        <x:f>G36/F36-1</x:f>
        <x:v>0.15881135667577184</x:v>
      </x:c>
    </x:row>
    <x:row r="48">
      <x:c r="A48" s="12" t="str">
        <x:v>Intelligent Cloud Revenue Growth</x:v>
      </x:c>
      <x:c r="B48" s="38"/>
      <x:c r="C48" s="38" t="n">
        <x:f>C37/B37-1</x:f>
        <x:v>0.2525133155792276</x:v>
      </x:c>
      <x:c r="D48" s="116"/>
      <x:c r="E48" s="38" t="n">
        <x:f>E37/D37-1</x:f>
        <x:v>0.19905681070410175</x:v>
      </x:c>
      <x:c r="F48" s="38" t="n">
        <x:f>F37/E37-1</x:f>
        <x:v>0.21495701088447827</x:v>
      </x:c>
      <x:c r="G48" s="38" t="n">
        <x:f>G37/F37-1</x:f>
        <x:v>0.29667341081259124</x:v>
      </x:c>
    </x:row>
    <x:row r="49">
      <x:c r="A49" s="12" t="str">
        <x:v>MPC Revenue Growth</x:v>
      </x:c>
      <x:c r="B49" s="38"/>
      <x:c r="C49" s="38" t="n">
        <x:f>C38/B38-1</x:f>
        <x:v>0.102822916088958</x:v>
      </x:c>
      <x:c r="D49" s="116"/>
      <x:c r="E49" s="38" t="n">
        <x:f>E38/D38-1</x:f>
        <x:v>0.1342704149933065</x:v>
      </x:c>
      <x:c r="F49" s="38" t="n">
        <x:f>F38/E38-1</x:f>
        <x:v>0.07496360989810769</x:v>
      </x:c>
      <x:c r="G49" s="38" t="n">
        <x:f>G38/F38-1</x:f>
        <x:v>-0.01092426210909625</x:v>
      </x:c>
    </x:row>
    <x:row r="50">
      <x:c r="A50" s="12"/>
      <x:c r="B50" s="12"/>
      <x:c r="C50" s="12"/>
      <x:c r="D50" s="115"/>
      <x:c r="E50" s="12"/>
      <x:c r="F50" s="12"/>
      <x:c r="G50" s="12"/>
    </x:row>
    <x:row r="51">
      <x:c r="A51" s="12" t="str">
        <x:v>PBP Operating Margin</x:v>
      </x:c>
      <x:c r="B51" s="38" t="n">
        <x:f>B42/B36</x:f>
        <x:v>0.4516553834739868</x:v>
      </x:c>
      <x:c r="C51" s="38" t="n">
        <x:f>C42/C36</x:f>
        <x:v>0.4685152452496686</x:v>
      </x:c>
      <x:c r="D51" s="116" t="n">
        <x:f>D42/D36</x:f>
        <x:v>0.5318477764442225</x:v>
      </x:c>
      <x:c r="E51" s="38" t="n">
        <x:f>E42/E36</x:f>
        <x:v>0.558519003931848</x:v>
      </x:c>
      <x:c r="F51" s="38" t="n">
        <x:f>F42/F36</x:f>
        <x:v>0.5775432497309826</x:v>
      </x:c>
      <x:c r="G51" s="38" t="n">
        <x:f>G42/G36</x:f>
        <x:v>0.599152832938084</x:v>
      </x:c>
    </x:row>
    <x:row r="52">
      <x:c r="A52" s="12" t="str">
        <x:v>Intelligent Cloud Operating Margin</x:v>
      </x:c>
      <x:c r="B52" s="38" t="n">
        <x:f>B43/B37</x:f>
        <x:v>0.43485352862849536</x:v>
      </x:c>
      <x:c r="C52" s="38" t="n">
        <x:f>C43/C37</x:f>
        <x:v>0.43482478638157634</x:v>
      </x:c>
      <x:c r="D52" s="116" t="n">
        <x:f>D43/D37</x:f>
        <x:v>0.389490568107041</x:v>
      </x:c>
      <x:c r="E52" s="38" t="n">
        <x:f>E43/E37</x:f>
        <x:v>0.43232644287935607</x:v>
      </x:c>
      <x:c r="F52" s="38" t="n">
        <x:f>F43/F37</x:f>
        <x:v>0.4196019385498518</x:v>
      </x:c>
      <x:c r="G52" s="38" t="n">
        <x:f>G43/G37</x:f>
        <x:v>0.41346677214041555</x:v>
      </x:c>
    </x:row>
    <x:row r="53">
      <x:c r="A53" s="12" t="str">
        <x:v>MPC Operating Margin</x:v>
      </x:c>
      <x:c r="B53" s="38" t="n">
        <x:f>B44/B38</x:f>
        <x:v>0.359362579261642</x:v>
      </x:c>
      <x:c r="C53" s="38" t="n">
        <x:f>C44/C38</x:f>
        <x:v>0.351605062442377</x:v>
      </x:c>
      <x:c r="D53" s="116" t="n">
        <x:f>D44/D38</x:f>
        <x:v>0.22396251673360107</x:v>
      </x:c>
      <x:c r="E53" s="38" t="n">
        <x:f>E44/E38</x:f>
        <x:v>0.2352374208269405</x:v>
      </x:c>
      <x:c r="F53" s="38" t="n">
        <x:f>F44/F38</x:f>
        <x:v>0.2592179179856905</x:v>
      </x:c>
      <x:c r="G53" s="38" t="n">
        <x:f>G44/G38</x:f>
        <x:v>0.2661511137423222</x:v>
      </x:c>
    </x:row>
    <x:row r="54">
      <x:c r="A54" s="12"/>
      <x:c r="B54" s="12"/>
      <x:c r="C54" s="12"/>
      <x:c r="D54" s="115"/>
      <x:c r="E54" s="12"/>
      <x:c r="F54" s="12"/>
      <x:c r="G54" s="12"/>
    </x:row>
    <x:row r="55">
      <x:c r="A55" s="12" t="str">
        <x:v>PBP Revenue Mix</x:v>
      </x:c>
      <x:c r="B55" s="38" t="n">
        <x:f>B36/B39</x:f>
        <x:v>0.32075460473085526</x:v>
      </x:c>
      <x:c r="C55" s="38" t="n">
        <x:f>C36/C39</x:f>
        <x:v>0.3195844051041509</x:v>
      </x:c>
      <x:c r="D55" s="116" t="n">
        <x:f>D36/D39</x:f>
        <x:v>0.44428662435410426</x:v>
      </x:c>
      <x:c r="E55" s="38" t="n">
        <x:f>E36/E39</x:f>
        <x:v>0.43578299785412977</x:v>
      </x:c>
      <x:c r="F55" s="38" t="n">
        <x:f>F36/F39</x:f>
        <x:v>0.42882395536056567</x:v>
      </x:c>
      <x:c r="G55" s="38" t="n">
        <x:f>G36/G39</x:f>
        <x:v>0.4218792848339104</x:v>
      </x:c>
    </x:row>
    <x:row r="56">
      <x:c r="A56" s="12" t="str">
        <x:v>Intelligent Cloud Revenue Mix</x:v>
      </x:c>
      <x:c r="B56" s="38" t="n">
        <x:f>B37/B39</x:f>
        <x:v>0.35743182142687163</x:v>
      </x:c>
      <x:c r="C56" s="38" t="n">
        <x:f>C37/C39</x:f>
        <x:v>0.37953800373228425</x:v>
      </x:c>
      <x:c r="D56" s="116" t="n">
        <x:f>D37/D39</x:f>
        <x:v>0.34421348182054123</x:v>
      </x:c>
      <x:c r="E56" s="38" t="n">
        <x:f>E37/E39</x:f>
        <x:v>0.35681823744910696</x:v>
      </x:c>
      <x:c r="F56" s="38" t="n">
        <x:f>F37/F39</x:f>
        <x:v>0.3771954111115844</x:v>
      </x:c>
      <x:c r="G56" s="38" t="n">
        <x:f>G37/G39</x:f>
        <x:v>0.41523449624667386</x:v>
      </x:c>
    </x:row>
    <x:row r="57">
      <x:c r="A57" s="12" t="str">
        <x:v>MPC Revenue Mix</x:v>
      </x:c>
      <x:c r="B57" s="38" t="n">
        <x:f>B38/B39</x:f>
        <x:v>0.3218135738422731</x:v>
      </x:c>
      <x:c r="C57" s="38" t="n">
        <x:f>C38/C39</x:f>
        <x:v>0.30087759116356483</x:v>
      </x:c>
      <x:c r="D57" s="116" t="n">
        <x:f>D38/D39</x:f>
        <x:v>0.2114998938253545</x:v>
      </x:c>
      <x:c r="E57" s="38" t="n">
        <x:f>E38/E39</x:f>
        <x:v>0.20739876469676324</x:v>
      </x:c>
      <x:c r="F57" s="38" t="n">
        <x:f>F38/F39</x:f>
        <x:v>0.19398063352784994</x:v>
      </x:c>
      <x:c r="G57" s="38" t="n">
        <x:f>G38/G39</x:f>
        <x:v>0.16288621891941574</x:v>
      </x:c>
    </x:row>
    <x:row r="58">
      <x:c r="A58" s="12"/>
      <x:c r="B58" s="12"/>
      <x:c r="C58" s="12"/>
      <x:c r="D58" s="115"/>
      <x:c r="E58" s="12"/>
      <x:c r="F58" s="12"/>
      <x:c r="G58" s="12"/>
    </x:row>
    <x:row r="59">
      <x:c r="A59" s="12" t="str">
        <x:v>PBP Operating Income Mix</x:v>
      </x:c>
      <x:c r="B59" s="38" t="n">
        <x:f>B42/B45</x:f>
        <x:v>0.3482893758224155</x:v>
      </x:c>
      <x:c r="C59" s="38" t="n">
        <x:f>C42/C45</x:f>
        <x:v>0.3560318050441937</x:v>
      </x:c>
      <x:c r="D59" s="116" t="n">
        <x:f>D42/D45</x:f>
        <x:v>0.5656609016865674</x:v>
      </x:c>
      <x:c r="E59" s="38" t="n">
        <x:f>E42/E45</x:f>
        <x:v>0.54518289729789</x:v>
      </x:c>
      <x:c r="F59" s="38" t="n">
        <x:f>F42/F45</x:f>
        <x:v>0.542862255695257</x:v>
      </x:c>
      <x:c r="G59" s="38" t="n">
        <x:f>G42/G45</x:f>
        <x:v>0.5403286587604759</x:v>
      </x:c>
    </x:row>
    <x:row r="60">
      <x:c r="A60" s="12" t="str">
        <x:v>Intelligent Cloud Operating Income Mix</x:v>
      </x:c>
      <x:c r="B60" s="38" t="n">
        <x:f>B43/B45</x:f>
        <x:v>0.3736769838091424</x:v>
      </x:c>
      <x:c r="C60" s="38" t="n">
        <x:f>C43/C45</x:f>
        <x:v>0.3924181188011945</x:v>
      </x:c>
      <x:c r="D60" s="116" t="n">
        <x:f>D43/D45</x:f>
        <x:v>0.3209448391943337</x:v>
      </x:c>
      <x:c r="E60" s="38" t="n">
        <x:f>E43/E45</x:f>
        <x:v>0.3455356245373882</x:v>
      </x:c>
      <x:c r="F60" s="38" t="n">
        <x:f>F43/F45</x:f>
        <x:v>0.3469205153740819</x:v>
      </x:c>
      <x:c r="G60" s="38" t="n">
        <x:f>G43/G45</x:f>
        <x:v>0.367000135277028</x:v>
      </x:c>
    </x:row>
    <x:row r="61">
      <x:c r="A61" s="12" t="str">
        <x:v>MPC Operating Income Mix</x:v>
      </x:c>
      <x:c r="B61" s="38" t="n">
        <x:f>B44/B45</x:f>
        <x:v>0.27803364036844214</x:v>
      </x:c>
      <x:c r="C61" s="38" t="n">
        <x:f>C44/C45</x:f>
        <x:v>0.25155007615461183</x:v>
      </x:c>
      <x:c r="D61" s="117" t="n">
        <x:f>D44/D45</x:f>
        <x:v>0.11339425911909899</x:v>
      </x:c>
      <x:c r="E61" s="38" t="n">
        <x:f>E44/E45</x:f>
        <x:v>0.1092814781647218</x:v>
      </x:c>
      <x:c r="F61" s="38" t="n">
        <x:f>F44/F45</x:f>
        <x:v>0.11021722893066102</x:v>
      </x:c>
      <x:c r="G61" s="38" t="n">
        <x:f>G44/G45</x:f>
        <x:v>0.09267120596249605</x:v>
      </x:c>
    </x:row>
    <x:row r="62">
      <x:c r="A62" s="12"/>
      <x:c r="B62" s="12"/>
      <x:c r="C62" s="12"/>
      <x:c r="D62" s="12"/>
      <x:c r="E62" s="12"/>
      <x:c r="F62" s="12"/>
      <x:c r="G62" s="12"/>
    </x:row>
    <x:row r="63">
      <x:c r="A63" s="98" t="str">
        <x:v>Note: FY2023A–FY2026A segment data reflects Microsoft's FY2025 recast reporting structure. The FY2021A–FY2022A segment series is presented on a legacy basis and is not directly comparable.</x:v>
      </x:c>
      <x:c r="B63" s="98"/>
      <x:c r="C63" s="98"/>
      <x:c r="D63" s="98"/>
      <x:c r="E63" s="98"/>
      <x:c r="F63" s="98"/>
      <x:c r="G63" s="98"/>
    </x:row>
    <x:row r="64" ht="20" customHeight="1">
      <x:c r="A64" s="27" t="str">
        <x:v>Validation Checks</x:v>
      </x:c>
      <x:c r="B64" s="27"/>
      <x:c r="C64" s="27"/>
      <x:c r="D64" s="27"/>
      <x:c r="E64" s="27"/>
      <x:c r="F64" s="27"/>
      <x:c r="G64" s="27"/>
    </x:row>
    <x:row r="65">
      <x:c r="A65" s="12" t="str">
        <x:v>Segment Revenue Reconciliation</x:v>
      </x:c>
      <x:c r="B65" s="44" t="n">
        <x:f>SUM(B36:B38)-B39</x:f>
        <x:v>0</x:v>
      </x:c>
      <x:c r="C65" s="44" t="n">
        <x:f>SUM(C36:C38)-C39</x:f>
        <x:v>0</x:v>
      </x:c>
      <x:c r="D65" s="44" t="n">
        <x:f>SUM(D36:D38)-D39</x:f>
        <x:v>0</x:v>
      </x:c>
      <x:c r="E65" s="44" t="n">
        <x:f>SUM(E36:E38)-E39</x:f>
        <x:v>0</x:v>
      </x:c>
      <x:c r="F65" s="44" t="n">
        <x:f>SUM(F36:F38)-F39</x:f>
        <x:v>0</x:v>
      </x:c>
      <x:c r="G65" s="44" t="n">
        <x:f>SUM(G36:G38)-G39</x:f>
        <x:v>0</x:v>
      </x:c>
    </x:row>
    <x:row r="66">
      <x:c r="A66" s="12" t="str">
        <x:v>Segment Operating Income Reconciliation</x:v>
      </x:c>
      <x:c r="B66" s="44" t="n">
        <x:f>SUM(B42:B44)-B45</x:f>
        <x:v>0</x:v>
      </x:c>
      <x:c r="C66" s="44" t="n">
        <x:f>SUM(C42:C44)-C45</x:f>
        <x:v>0</x:v>
      </x:c>
      <x:c r="D66" s="44" t="n">
        <x:f>SUM(D42:D44)-D45</x:f>
        <x:v>0</x:v>
      </x:c>
      <x:c r="E66" s="44" t="n">
        <x:f>SUM(E42:E44)-E45</x:f>
        <x:v>0</x:v>
      </x:c>
      <x:c r="F66" s="44" t="n">
        <x:f>SUM(F42:F44)-F45</x:f>
        <x:v>0</x:v>
      </x:c>
      <x:c r="G66" s="44" t="n">
        <x:f>SUM(G42:G44)-G45</x:f>
        <x:v>0</x:v>
      </x:c>
    </x:row>
    <x:row r="67">
      <x:c r="A67" s="12" t="str">
        <x:v>Revenue Mix Reconciliation</x:v>
      </x:c>
      <x:c r="B67" s="38" t="n">
        <x:f>SUM(B55:B57)-100%</x:f>
        <x:v>0</x:v>
      </x:c>
      <x:c r="C67" s="38" t="n">
        <x:f>SUM(C55:C57)-100%</x:f>
        <x:v>0</x:v>
      </x:c>
      <x:c r="D67" s="38" t="n">
        <x:f>SUM(D55:D57)-100%</x:f>
        <x:v>0</x:v>
      </x:c>
      <x:c r="E67" s="38" t="n">
        <x:f>SUM(E55:E57)-100%</x:f>
        <x:v>0</x:v>
      </x:c>
      <x:c r="F67" s="38" t="n">
        <x:f>SUM(F55:F57)-100%</x:f>
        <x:v>0</x:v>
      </x:c>
      <x:c r="G67" s="38" t="n">
        <x:f>SUM(G55:G57)-100%</x:f>
        <x:v>0</x:v>
      </x:c>
    </x:row>
    <x:row r="68">
      <x:c r="A68" s="12" t="str">
        <x:v>Operating Income Mix Reconciliation</x:v>
      </x:c>
      <x:c r="B68" s="38" t="n">
        <x:f>SUM(B59:B61)-100%</x:f>
        <x:v>0</x:v>
      </x:c>
      <x:c r="C68" s="38" t="n">
        <x:f>SUM(C59:C61)-100%</x:f>
        <x:v>0</x:v>
      </x:c>
      <x:c r="D68" s="38" t="n">
        <x:f>SUM(D59:D61)-100%</x:f>
        <x:v>0</x:v>
      </x:c>
      <x:c r="E68" s="38" t="n">
        <x:f>SUM(E59:E61)-100%</x:f>
        <x:v>0</x:v>
      </x:c>
      <x:c r="F68" s="38" t="n">
        <x:f>SUM(F59:F61)-100%</x:f>
        <x:v>-1.1102230246251565e-16</x:v>
      </x:c>
      <x:c r="G68" s="38" t="n">
        <x:f>SUM(G59:G61)-100%</x:f>
        <x:v>-1.1102230246251565e-16</x:v>
      </x:c>
    </x:row>
    <x:row r="69">
      <x:c r="A69" s="12" t="str">
        <x:v>Cash FCF Check</x:v>
      </x:c>
      <x:c r="B69" s="44" t="n">
        <x:f>B16-B17-B18</x:f>
        <x:v>0</x:v>
      </x:c>
      <x:c r="C69" s="44" t="n">
        <x:f>C16-C17-C18</x:f>
        <x:v>0</x:v>
      </x:c>
      <x:c r="D69" s="44" t="n">
        <x:f>D16-D17-D18</x:f>
        <x:v>0</x:v>
      </x:c>
      <x:c r="E69" s="44" t="n">
        <x:f>E16-E17-E18</x:f>
        <x:v>0</x:v>
      </x:c>
      <x:c r="F69" s="44" t="n">
        <x:f>F16-F17-F18</x:f>
        <x:v>0</x:v>
      </x:c>
      <x:c r="G69" s="44" t="n">
        <x:f>G16-G17-G18</x:f>
        <x:v>0</x:v>
      </x:c>
    </x:row>
  </x:sheetData>
  <x:mergeCells>
    <x:mergeCell ref="A1:G1"/>
    <x:mergeCell ref="A2:G2"/>
    <x:mergeCell ref="A20:G20"/>
    <x:mergeCell ref="A34:G34"/>
    <x:mergeCell ref="A64:G64"/>
  </x:mergeCells>
  <x:pageMargins left="0.7" right="0.7" top="0.75" bottom="0.75" header="0.3" footer="0.3"/>
</x:worksheet>
</file>

<file path=xl/worksheets/sheet4.xml><?xml version="1.0" encoding="utf-8"?>
<x:worksheet xmlns:x="http://schemas.openxmlformats.org/spreadsheetml/2006/main">
  <x:sheetFormatPr defaultRowHeight="15"/>
  <x:cols>
    <x:col min="1" max="1" width="3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3" hidden="0" customWidth="1"/>
  </x:cols>
  <x:sheetData>
    <x:row r="1" ht="28" customHeight="1">
      <x:c r="A1" s="16" t="str">
        <x:v>Microsoft Business Quality Analysis</x:v>
      </x:c>
      <x:c r="B1" s="16"/>
      <x:c r="C1" s="16"/>
      <x:c r="D1" s="16"/>
      <x:c r="E1" s="16"/>
      <x:c r="F1" s="16"/>
      <x:c r="G1" s="16"/>
      <x:c r="H1" s="12"/>
    </x:row>
    <x:row r="2" ht="20" customHeight="1">
      <x:c r="A2" s="22" t="str">
        <x:v>USD in millions, except percentages</x:v>
      </x:c>
      <x:c r="B2" s="22"/>
      <x:c r="C2" s="22"/>
      <x:c r="D2" s="22"/>
      <x:c r="E2" s="22"/>
      <x:c r="F2" s="22"/>
      <x:c r="G2" s="22"/>
      <x:c r="H2" s="12"/>
    </x:row>
    <x:row r="3">
      <x:c r="A3" s="12"/>
      <x:c r="B3" s="12"/>
      <x:c r="C3" s="12"/>
      <x:c r="D3" s="12"/>
      <x:c r="E3" s="12"/>
      <x:c r="F3" s="12"/>
      <x:c r="G3" s="12"/>
      <x:c r="H3" s="12"/>
    </x:row>
    <x:row r="4" ht="20" customHeight="1">
      <x:c r="A4" s="27" t="str">
        <x:v>Profitability &amp; Cash Conversion</x:v>
      </x:c>
      <x:c r="B4" s="27"/>
      <x:c r="C4" s="27"/>
      <x:c r="D4" s="27"/>
      <x:c r="E4" s="27"/>
      <x:c r="F4" s="27"/>
      <x:c r="G4" s="27"/>
      <x:c r="H4" s="12"/>
    </x:row>
    <x:row r="5">
      <x:c r="A5" s="33" t="str">
        <x:v>Metric</x:v>
      </x:c>
      <x:c r="B5" s="33" t="str">
        <x:v>FY2021A</x:v>
      </x:c>
      <x:c r="C5" s="33" t="str">
        <x:v>FY2022A</x:v>
      </x:c>
      <x:c r="D5" s="33" t="str">
        <x:v>FY2023A</x:v>
      </x:c>
      <x:c r="E5" s="33" t="str">
        <x:v>FY2024A</x:v>
      </x:c>
      <x:c r="F5" s="33" t="str">
        <x:v>FY2025A</x:v>
      </x:c>
      <x:c r="G5" s="33" t="str">
        <x:v>FY2026A</x:v>
      </x:c>
      <x:c r="H5" s="12"/>
    </x:row>
    <x:row r="6">
      <x:c r="A6" s="12" t="str">
        <x:v>Revenue Growth</x:v>
      </x:c>
      <x:c r="B6" s="128"/>
      <x:c r="C6" s="128" t="n">
        <x:f>'02_Historical_Financials'!C9</x:f>
        <x:v>0.17956070629670173</x:v>
      </x:c>
      <x:c r="D6" s="128" t="n">
        <x:f>'02_Historical_Financials'!D9</x:f>
        <x:v>0.06882029555656421</x:v>
      </x:c>
      <x:c r="E6" s="128" t="n">
        <x:f>'02_Historical_Financials'!E9</x:f>
        <x:v>0.1566996201307127</x:v>
      </x:c>
      <x:c r="F6" s="128" t="n">
        <x:f>'02_Historical_Financials'!F9</x:f>
        <x:v>0.14932156232406713</x:v>
      </x:c>
      <x:c r="G6" s="128" t="n">
        <x:f>'02_Historical_Financials'!G9</x:f>
        <x:v>0.17788686799846665</x:v>
      </x:c>
      <x:c r="H6" s="12"/>
    </x:row>
    <x:row r="7">
      <x:c r="A7" s="12" t="str">
        <x:v>Gross Margin</x:v>
      </x:c>
      <x:c r="B7" s="128" t="n">
        <x:f>'02_Historical_Financials'!B10</x:f>
        <x:v>0.689258007710247</x:v>
      </x:c>
      <x:c r="C7" s="128" t="n">
        <x:f>'02_Historical_Financials'!C10</x:f>
        <x:v>0.684016744842891</x:v>
      </x:c>
      <x:c r="D7" s="128" t="n">
        <x:f>'02_Historical_Financials'!D10</x:f>
        <x:v>0.6892008588349102</x:v>
      </x:c>
      <x:c r="E7" s="128" t="n">
        <x:f>'02_Historical_Financials'!E10</x:f>
        <x:v>0.6976444382797138</x:v>
      </x:c>
      <x:c r="F7" s="128" t="n">
        <x:f>'02_Historical_Financials'!F10</x:f>
        <x:v>0.6882374238616519</x:v>
      </x:c>
      <x:c r="G7" s="128" t="n">
        <x:f>'02_Historical_Financials'!G10</x:f>
        <x:v>0.6794409337058032</x:v>
      </x:c>
      <x:c r="H7" s="12"/>
    </x:row>
    <x:row r="8">
      <x:c r="A8" s="12" t="str">
        <x:v>Operating Margin</x:v>
      </x:c>
      <x:c r="B8" s="128" t="n">
        <x:f>'02_Historical_Financials'!B11</x:f>
        <x:v>0.415948788729713</x:v>
      </x:c>
      <x:c r="C8" s="128" t="n">
        <x:f>'02_Historical_Financials'!C11</x:f>
        <x:v>0.4205527815604983</x:v>
      </x:c>
      <x:c r="D8" s="128" t="n">
        <x:f>'02_Historical_Financials'!D11</x:f>
        <x:v>0.417728806361041</x:v>
      </x:c>
      <x:c r="E8" s="128" t="n">
        <x:f>'02_Historical_Financials'!E11</x:f>
        <x:v>0.44644299573273716</x:v>
      </x:c>
      <x:c r="F8" s="128" t="n">
        <x:f>'02_Historical_Financials'!F11</x:f>
        <x:v>0.4562195624085985</x:v>
      </x:c>
      <x:c r="G8" s="128" t="n">
        <x:f>'02_Historical_Financials'!G11</x:f>
        <x:v>0.4678081840892722</x:v>
      </x:c>
      <x:c r="H8" s="12"/>
    </x:row>
    <x:row r="9">
      <x:c r="A9" s="12" t="str">
        <x:v>Net Income Margin</x:v>
      </x:c>
      <x:c r="B9" s="128" t="n">
        <x:f>'02_Historical_Financials'!B12</x:f>
        <x:v>0.36451739564989766</x:v>
      </x:c>
      <x:c r="C9" s="128" t="n">
        <x:f>'02_Historical_Financials'!C12</x:f>
        <x:v>0.3668633681343622</x:v>
      </x:c>
      <x:c r="D9" s="128" t="n">
        <x:f>'02_Historical_Financials'!D12</x:f>
        <x:v>0.3414623787839464</x:v>
      </x:c>
      <x:c r="E9" s="128" t="n">
        <x:f>'02_Historical_Financials'!E12</x:f>
        <x:v>0.35955972944084985</x:v>
      </x:c>
      <x:c r="F9" s="128" t="n">
        <x:f>'02_Historical_Financials'!F12</x:f>
        <x:v>0.3614601524896707</x:v>
      </x:c>
      <x:c r="G9" s="128" t="n">
        <x:f>'02_Historical_Financials'!G12</x:f>
        <x:v>0.4030538905915218</x:v>
      </x:c>
      <x:c r="H9" s="12"/>
    </x:row>
    <x:row r="10">
      <x:c r="A10" s="12" t="str">
        <x:v>CFO/Net Income</x:v>
      </x:c>
      <x:c r="B10" s="128" t="n">
        <x:f>'02_Historical_Financials'!B28</x:f>
        <x:v>1.2524685413980512</x:v>
      </x:c>
      <x:c r="C10" s="128" t="n">
        <x:f>'02_Historical_Financials'!C28</x:f>
        <x:v>1.224050702521378</x:v>
      </x:c>
      <x:c r="D10" s="128" t="n">
        <x:f>'02_Historical_Financials'!D28</x:f>
        <x:v>1.2103481156976825</x:v>
      </x:c>
      <x:c r="E10" s="128" t="n">
        <x:f>'02_Historical_Financials'!E28</x:f>
        <x:v>1.345057638195516</x:v>
      </x:c>
      <x:c r="F10" s="128" t="n">
        <x:f>'02_Historical_Financials'!F28</x:f>
        <x:v>1.3371238903291696</x:v>
      </x:c>
      <x:c r="G10" s="128" t="n">
        <x:f>'02_Historical_Financials'!G28</x:f>
        <x:v>1.367748543914347</x:v>
      </x:c>
      <x:c r="H10" s="12"/>
    </x:row>
    <x:row r="11">
      <x:c r="A11" s="12" t="str">
        <x:v>Cash FCF Margin</x:v>
      </x:c>
      <x:c r="B11" s="128" t="n">
        <x:f>'02_Historical_Financials'!B31</x:f>
        <x:v>0.33386083480081863</x:v>
      </x:c>
      <x:c r="C11" s="128" t="n">
        <x:f>'02_Historical_Financials'!C31</x:f>
        <x:v>0.3285872799717557</x:v>
      </x:c>
      <x:c r="D11" s="128" t="n">
        <x:f>'02_Historical_Financials'!D31</x:f>
        <x:v>0.2806549795908737</x:v>
      </x:c>
      <x:c r="E11" s="128" t="n">
        <x:f>'02_Historical_Financials'!E31</x:f>
        <x:v>0.3021801388696241</x:v>
      </x:c>
      <x:c r="F11" s="128" t="n">
        <x:f>'02_Historical_Financials'!F31</x:f>
        <x:v>0.2541884965427156</x:v>
      </x:c>
      <x:c r="G11" s="128" t="n">
        <x:f>'02_Historical_Financials'!G31</x:f>
        <x:v>0.20186596512164032</x:v>
      </x:c>
      <x:c r="H11" s="12"/>
    </x:row>
    <x:row r="12">
      <x:c r="A12" s="12" t="str">
        <x:v>Cash FCF / Net Income</x:v>
      </x:c>
      <x:c r="B12" s="128" t="n">
        <x:f>'02_Historical_Financials'!B29</x:f>
        <x:v>0.9158982226501934</x:v>
      </x:c>
      <x:c r="C12" s="128" t="n">
        <x:f>'02_Historical_Financials'!C29</x:f>
        <x:v>0.8956666391707223</x:v>
      </x:c>
      <x:c r="D12" s="128" t="n">
        <x:f>'02_Historical_Financials'!D29</x:f>
        <x:v>0.8219206478627991</x:v>
      </x:c>
      <x:c r="E12" s="128" t="n">
        <x:f>'02_Historical_Financials'!E29</x:f>
        <x:v>0.8404170826903876</x:v>
      </x:c>
      <x:c r="F12" s="128" t="n">
        <x:f>'02_Historical_Financials'!F29</x:f>
        <x:v>0.7032268834943829</x:v>
      </x:c>
      <x:c r="G12" s="128" t="n">
        <x:f>'02_Historical_Financials'!G29</x:f>
        <x:v>0.5008411277841329</x:v>
      </x:c>
      <x:c r="H12" s="12"/>
    </x:row>
    <x:row r="13">
      <x:c r="A13" s="12"/>
      <x:c r="B13" s="12"/>
      <x:c r="C13" s="12"/>
      <x:c r="D13" s="12"/>
      <x:c r="E13" s="12"/>
      <x:c r="F13" s="12"/>
      <x:c r="G13" s="12"/>
      <x:c r="H13" s="12"/>
    </x:row>
    <x:row r="14" ht="20" customHeight="1">
      <x:c r="A14" s="27" t="str">
        <x:v>Reinvestment Intensity</x:v>
      </x:c>
      <x:c r="B14" s="27"/>
      <x:c r="C14" s="27"/>
      <x:c r="D14" s="27"/>
      <x:c r="E14" s="27"/>
      <x:c r="F14" s="27"/>
      <x:c r="G14" s="27"/>
      <x:c r="H14" s="12"/>
    </x:row>
    <x:row r="15">
      <x:c r="A15" s="33" t="str">
        <x:v>Metric</x:v>
      </x:c>
      <x:c r="B15" s="33" t="str">
        <x:v>FY2021A</x:v>
      </x:c>
      <x:c r="C15" s="33" t="str">
        <x:v>FY2022A</x:v>
      </x:c>
      <x:c r="D15" s="33" t="str">
        <x:v>FY2023A</x:v>
      </x:c>
      <x:c r="E15" s="33" t="str">
        <x:v>FY2024A</x:v>
      </x:c>
      <x:c r="F15" s="33" t="str">
        <x:v>FY2025A</x:v>
      </x:c>
      <x:c r="G15" s="33" t="str">
        <x:v>FY2026A</x:v>
      </x:c>
      <x:c r="H15" s="12"/>
    </x:row>
    <x:row r="16">
      <x:c r="A16" s="12" t="str">
        <x:v>Cash CapEx/Revenue</x:v>
      </x:c>
      <x:c r="B16" s="128" t="n">
        <x:f>'02_Historical_Financials'!B27</x:f>
        <x:v>0.12268573604302509</x:v>
      </x:c>
      <x:c r="C16" s="128" t="n">
        <x:f>'02_Historical_Financials'!C27</x:f>
        <x:v>0.12047208352246935</x:v>
      </x:c>
      <x:c r="D16" s="128" t="n">
        <x:f>'02_Historical_Financials'!D27</x:f>
        <x:v>0.13263336715192411</x:v>
      </x:c>
      <x:c r="E16" s="128" t="n">
        <x:f>'02_Historical_Financials'!E27</x:f>
        <x:v>0.18144842160230415</x:v>
      </x:c>
      <x:c r="F16" s="128" t="n">
        <x:f>'02_Historical_Financials'!F27</x:f>
        <x:v>0.22912850875324786</x:v>
      </x:c>
      <x:c r="G16" s="128" t="n">
        <x:f>'02_Historical_Financials'!G27</x:f>
        <x:v>0.34941040685392616</x:v>
      </x:c>
      <x:c r="H16" s="12"/>
    </x:row>
    <x:row r="17">
      <x:c r="A17" s="12" t="str">
        <x:v>Cash CapEx/CFO</x:v>
      </x:c>
      <x:c r="B17" s="128" t="n">
        <x:f>'02_Historical_Financials'!B32</x:f>
        <x:v>0.26872556684910087</x:v>
      </x:c>
      <x:c r="C17" s="128" t="n">
        <x:f>'02_Historical_Financials'!C32</x:f>
        <x:v>0.2682765204694783</x:v>
      </x:c>
      <x:c r="D17" s="128" t="n">
        <x:f>'02_Historical_Financials'!D32</x:f>
        <x:v>0.3209221072823183</x:v>
      </x:c>
      <x:c r="E17" s="128" t="n">
        <x:f>'02_Historical_Financials'!E32</x:f>
        <x:v>0.3751813611364173</x:v>
      </x:c>
      <x:c r="F17" s="128" t="n">
        <x:f>'02_Historical_Financials'!F32</x:f>
        <x:v>0.47407499889837107</x:v>
      </x:c>
      <x:c r="G17" s="128" t="n">
        <x:f>'02_Historical_Financials'!G32</x:f>
        <x:v>0.6338207560062317</x:v>
      </x:c>
      <x:c r="H17" s="12"/>
    </x:row>
    <x:row r="18">
      <x:c r="A18" s="12"/>
      <x:c r="B18" s="12"/>
      <x:c r="C18" s="12"/>
      <x:c r="D18" s="12"/>
      <x:c r="E18" s="12"/>
      <x:c r="F18" s="12"/>
      <x:c r="G18" s="12"/>
      <x:c r="H18" s="12"/>
    </x:row>
    <x:row r="19" ht="20" customHeight="1">
      <x:c r="A19" s="27" t="str">
        <x:v>Returns on Capital</x:v>
      </x:c>
      <x:c r="B19" s="27"/>
      <x:c r="C19" s="27"/>
      <x:c r="D19" s="27"/>
      <x:c r="E19" s="27"/>
      <x:c r="F19" s="27"/>
      <x:c r="G19" s="27"/>
      <x:c r="H19" s="12"/>
    </x:row>
    <x:row r="20">
      <x:c r="A20" s="33" t="str">
        <x:v>Metric</x:v>
      </x:c>
      <x:c r="B20" s="33" t="str">
        <x:v>FY2021A</x:v>
      </x:c>
      <x:c r="C20" s="33" t="str">
        <x:v>FY2022A</x:v>
      </x:c>
      <x:c r="D20" s="33" t="str">
        <x:v>FY2023A</x:v>
      </x:c>
      <x:c r="E20" s="33" t="str">
        <x:v>FY2024A</x:v>
      </x:c>
      <x:c r="F20" s="33" t="str">
        <x:v>FY2025A</x:v>
      </x:c>
      <x:c r="G20" s="33" t="str">
        <x:v>FY2026A</x:v>
      </x:c>
      <x:c r="H20" s="12"/>
    </x:row>
    <x:row r="21">
      <x:c r="A21" s="12" t="str">
        <x:v>Operating Income</x:v>
      </x:c>
      <x:c r="B21" s="62" t="n">
        <x:f>'02_Historical_Financials'!B6</x:f>
        <x:v>69916</x:v>
      </x:c>
      <x:c r="C21" s="62" t="n">
        <x:f>'02_Historical_Financials'!C6</x:f>
        <x:v>83383</x:v>
      </x:c>
      <x:c r="D21" s="62" t="n">
        <x:f>'02_Historical_Financials'!D6</x:f>
        <x:v>88523</x:v>
      </x:c>
      <x:c r="E21" s="62" t="n">
        <x:f>'02_Historical_Financials'!E6</x:f>
        <x:v>109433</x:v>
      </x:c>
      <x:c r="F21" s="62" t="n">
        <x:f>'02_Historical_Financials'!F6</x:f>
        <x:v>128528</x:v>
      </x:c>
      <x:c r="G21" s="62" t="n">
        <x:f>'02_Historical_Financials'!G6</x:f>
        <x:v>155237</x:v>
      </x:c>
      <x:c r="H21" s="12"/>
    </x:row>
    <x:row r="22">
      <x:c r="A22" s="12" t="str">
        <x:v>Normalized Tax Rate (Assumption)</x:v>
      </x:c>
      <x:c r="B22" s="128" t="n">
        <x:f>'00_Assumptions'!B3</x:f>
        <x:v>0.18</x:v>
      </x:c>
      <x:c r="C22" s="128" t="n">
        <x:f>'00_Assumptions'!C3</x:f>
        <x:v>0.18</x:v>
      </x:c>
      <x:c r="D22" s="128" t="n">
        <x:f>'00_Assumptions'!D3</x:f>
        <x:v>0.18</x:v>
      </x:c>
      <x:c r="E22" s="128" t="n">
        <x:f>'00_Assumptions'!E3</x:f>
        <x:v>0.18</x:v>
      </x:c>
      <x:c r="F22" s="128" t="n">
        <x:f>'00_Assumptions'!F3</x:f>
        <x:v>0.18</x:v>
      </x:c>
      <x:c r="G22" s="128" t="n">
        <x:f>'00_Assumptions'!G3</x:f>
        <x:v>0.18</x:v>
      </x:c>
      <x:c r="H22" s="12"/>
    </x:row>
    <x:row r="23">
      <x:c r="A23" s="12" t="str">
        <x:v>NOPAT</x:v>
      </x:c>
      <x:c r="B23" s="44" t="n">
        <x:f>B21*(1-B22)</x:f>
        <x:v>57331.12</x:v>
      </x:c>
      <x:c r="C23" s="44" t="n">
        <x:f>C21*(1-C22)</x:f>
        <x:v>68374.06000000001</x:v>
      </x:c>
      <x:c r="D23" s="44" t="n">
        <x:f>D21*(1-D22)</x:f>
        <x:v>72588.86</x:v>
      </x:c>
      <x:c r="E23" s="44" t="n">
        <x:f>E21*(1-E22)</x:f>
        <x:v>89735.06000000001</x:v>
      </x:c>
      <x:c r="F23" s="44" t="n">
        <x:f>F21*(1-F22)</x:f>
        <x:v>105392.96</x:v>
      </x:c>
      <x:c r="G23" s="44" t="n">
        <x:f>G21*(1-G22)</x:f>
        <x:v>127294.34000000001</x:v>
      </x:c>
      <x:c r="H23" s="12"/>
    </x:row>
    <x:row r="24">
      <x:c r="A24" s="12" t="str">
        <x:v>Ending Invested Capital</x:v>
      </x:c>
      <x:c r="B24" s="62" t="n">
        <x:f>'04_Invested_Capital'!C13</x:f>
        <x:v>76357</x:v>
      </x:c>
      <x:c r="C24" s="62" t="n">
        <x:f>'04_Invested_Capital'!D13</x:f>
        <x:v>119577</x:v>
      </x:c>
      <x:c r="D24" s="62" t="n">
        <x:f>'04_Invested_Capital'!E13</x:f>
        <x:v>149386</x:v>
      </x:c>
      <x:c r="E24" s="62" t="n">
        <x:f>'04_Invested_Capital'!F13</x:f>
        <x:v>257109</x:v>
      </x:c>
      <x:c r="F24" s="62" t="n">
        <x:f>'04_Invested_Capital'!G13</x:f>
        <x:v>322832</x:v>
      </x:c>
      <x:c r="G24" s="62" t="n">
        <x:f>'04_Invested_Capital'!H13</x:f>
        <x:v>436084</x:v>
      </x:c>
      <x:c r="H24" s="12"/>
    </x:row>
    <x:row r="25">
      <x:c r="A25" s="12" t="str">
        <x:v>Average Invested Capital</x:v>
      </x:c>
      <x:c r="B25" s="62" t="n">
        <x:f>'04_Invested_Capital'!C14</x:f>
        <x:v>63996</x:v>
      </x:c>
      <x:c r="C25" s="62" t="n">
        <x:f>'04_Invested_Capital'!D14</x:f>
        <x:v>97967</x:v>
      </x:c>
      <x:c r="D25" s="62" t="n">
        <x:f>'04_Invested_Capital'!E14</x:f>
        <x:v>134481.5</x:v>
      </x:c>
      <x:c r="E25" s="62" t="n">
        <x:f>'04_Invested_Capital'!F14</x:f>
        <x:v>203247.5</x:v>
      </x:c>
      <x:c r="F25" s="62" t="n">
        <x:f>'04_Invested_Capital'!G14</x:f>
        <x:v>289970.5</x:v>
      </x:c>
      <x:c r="G25" s="62" t="n">
        <x:f>'04_Invested_Capital'!H14</x:f>
        <x:v>379458</x:v>
      </x:c>
      <x:c r="H25" s="12"/>
    </x:row>
    <x:row r="26">
      <x:c r="A26" s="12" t="str">
        <x:v>ROIC</x:v>
      </x:c>
      <x:c r="B26" s="38" t="n">
        <x:f>B23/B25</x:f>
        <x:v>0.8958547409213076</x:v>
      </x:c>
      <x:c r="C26" s="38" t="n">
        <x:f>C23/C25</x:f>
        <x:v>0.6979295068747641</x:v>
      </x:c>
      <x:c r="D26" s="38" t="n">
        <x:f>D23/D25</x:f>
        <x:v>0.5397683696270491</x:v>
      </x:c>
      <x:c r="E26" s="38" t="n">
        <x:f>E23/E25</x:f>
        <x:v>0.4415063407913997</x:v>
      </x:c>
      <x:c r="F26" s="38" t="n">
        <x:f>F23/F25</x:f>
        <x:v>0.36346097275412503</x:v>
      </x:c>
      <x:c r="G26" s="38" t="n">
        <x:f>G23/G25</x:f>
        <x:v>0.33546358226733924</x:v>
      </x:c>
      <x:c r="H26" s="12"/>
    </x:row>
    <x:row r="27">
      <x:c r="A27" s="12" t="str">
        <x:v>Change in NOPAT</x:v>
      </x:c>
      <x:c r="B27" s="44"/>
      <x:c r="C27" s="44" t="n">
        <x:f>C23-B23</x:f>
        <x:v>11042.94000000001</x:v>
      </x:c>
      <x:c r="D27" s="44" t="n">
        <x:f>D23-C23</x:f>
        <x:v>4214.799999999988</x:v>
      </x:c>
      <x:c r="E27" s="44" t="n">
        <x:f>E23-D23</x:f>
        <x:v>17146.20000000001</x:v>
      </x:c>
      <x:c r="F27" s="44" t="n">
        <x:f>F23-E23</x:f>
        <x:v>15657.899999999994</x:v>
      </x:c>
      <x:c r="G27" s="44" t="n">
        <x:f>G23-F23</x:f>
        <x:v>21901.380000000005</x:v>
      </x:c>
      <x:c r="H27" s="12"/>
    </x:row>
    <x:row r="28">
      <x:c r="A28" s="12" t="str">
        <x:v>Change in Invested Capital</x:v>
      </x:c>
      <x:c r="B28" s="44"/>
      <x:c r="C28" s="44" t="n">
        <x:f>C24-B24</x:f>
        <x:v>43220</x:v>
      </x:c>
      <x:c r="D28" s="44" t="n">
        <x:f>D24-C24</x:f>
        <x:v>29809</x:v>
      </x:c>
      <x:c r="E28" s="44" t="n">
        <x:f>E24-D24</x:f>
        <x:v>107723</x:v>
      </x:c>
      <x:c r="F28" s="44" t="n">
        <x:f>F24-E24</x:f>
        <x:v>65723</x:v>
      </x:c>
      <x:c r="G28" s="44" t="n">
        <x:f>G24-F24</x:f>
        <x:v>113252</x:v>
      </x:c>
      <x:c r="H28" s="12"/>
    </x:row>
    <x:row r="29">
      <x:c r="A29" s="12" t="str">
        <x:v>Incremental ROIC</x:v>
      </x:c>
      <x:c r="B29" s="38"/>
      <x:c r="C29" s="38" t="n">
        <x:f>IFERROR(C27/C28,"N/M")</x:f>
        <x:v>0.2555053216103658</x:v>
      </x:c>
      <x:c r="D29" s="38" t="n">
        <x:f>IFERROR(D27/D28,"N/M")</x:f>
        <x:v>0.14139353886410105</x:v>
      </x:c>
      <x:c r="E29" s="38" t="n">
        <x:f>IFERROR(E27/E28,"N/M")</x:f>
        <x:v>0.1591693510206735</x:v>
      </x:c>
      <x:c r="F29" s="38" t="n">
        <x:f>IFERROR(F27/F28,"N/M")</x:f>
        <x:v>0.23824079850280716</x:v>
      </x:c>
      <x:c r="G29" s="38" t="n">
        <x:f>IFERROR(G27/G28,"N/M")</x:f>
        <x:v>0.1933862536643945</x:v>
      </x:c>
      <x:c r="H29" s="12"/>
    </x:row>
    <x:row r="30">
      <x:c r="A30" s="12"/>
      <x:c r="B30" s="12"/>
      <x:c r="C30" s="12"/>
      <x:c r="D30" s="12"/>
      <x:c r="E30" s="12"/>
      <x:c r="F30" s="12"/>
      <x:c r="G30" s="12"/>
      <x:c r="H30" s="12"/>
    </x:row>
    <x:row r="31">
      <x:c r="A31" s="12"/>
      <x:c r="B31" s="12"/>
      <x:c r="C31" s="12"/>
      <x:c r="D31" s="12"/>
      <x:c r="E31" s="12"/>
      <x:c r="F31" s="12"/>
      <x:c r="G31" s="12"/>
      <x:c r="H31" s="12"/>
    </x:row>
    <x:row r="32" ht="20" customHeight="1">
      <x:c r="A32" s="27" t="str">
        <x:v>Business Quality Summary</x:v>
      </x:c>
      <x:c r="B32" s="27"/>
      <x:c r="C32" s="27"/>
      <x:c r="D32" s="27"/>
      <x:c r="E32" s="27"/>
      <x:c r="F32" s="27"/>
      <x:c r="G32" s="27"/>
      <x:c r="H32" s="12"/>
    </x:row>
    <x:row r="33" ht="38" customHeight="1">
      <x:c r="A33" s="130" t="str">
        <x:v>Profitability</x:v>
      </x:c>
      <x:c r="B33" s="132" t="str">
        <x:v>Operating margin expanded from 41.59% in FY2021A to 46.78% in FY2026A, while gross margin remained near 68%, demonstrating strong operating leverage despite AI infrastructure pressure.</x:v>
      </x:c>
      <x:c r="C33" s="132"/>
      <x:c r="D33" s="132"/>
      <x:c r="E33" s="132"/>
      <x:c r="F33" s="132"/>
      <x:c r="G33" s="132"/>
      <x:c r="H33" s="12"/>
    </x:row>
    <x:row r="34" ht="38" customHeight="1">
      <x:c r="A34" s="130" t="str">
        <x:v>Cash Conversion</x:v>
      </x:c>
      <x:c r="B34" s="132" t="str">
        <x:v>CFO remained consistently above net income, but Cash FCF margin declined from 33.39% to 20.19% as infrastructure investment accelerated.</x:v>
      </x:c>
      <x:c r="C34" s="132"/>
      <x:c r="D34" s="132"/>
      <x:c r="E34" s="132"/>
      <x:c r="F34" s="132"/>
      <x:c r="G34" s="132"/>
      <x:c r="H34" s="12"/>
    </x:row>
    <x:row r="35" ht="38" customHeight="1">
      <x:c r="A35" s="130" t="str">
        <x:v>Reinvestment</x:v>
      </x:c>
      <x:c r="B35" s="132" t="str">
        <x:v>Cash CapEx/Revenue increased from 12.27% to 34.94%, while Cash CapEx/CFO increased from 26.87% to 63.38%, reflecting Microsoft's significant AI and cloud capacity buildout.</x:v>
      </x:c>
      <x:c r="C35" s="132"/>
      <x:c r="D35" s="132"/>
      <x:c r="E35" s="132"/>
      <x:c r="F35" s="132"/>
      <x:c r="G35" s="132"/>
      <x:c r="H35" s="12"/>
    </x:row>
    <x:row r="36" ht="38" customHeight="1">
      <x:c r="A36" s="130" t="str">
        <x:v>Capital Efficiency</x:v>
      </x:c>
      <x:c r="B36" s="132" t="str">
        <x:v>ROIC remained strong at 33.55% in FY2026A but declined as invested capital expanded. FY2026A incremental ROIC of 19.34% indicates that new capital still generates meaningful returns, although below Microsoft's historical level.</x:v>
      </x:c>
      <x:c r="C36" s="132"/>
      <x:c r="D36" s="132"/>
      <x:c r="E36" s="132"/>
      <x:c r="F36" s="132"/>
      <x:c r="G36" s="132"/>
      <x:c r="H36" s="12"/>
    </x:row>
    <x:row r="37">
      <x:c r="A37" s="98" t="str">
        <x:v>Note: ROIC equals NOPAT divided by average invested capital. Invested capital includes interest-bearing debt and finance-lease liabilities and excludes cash, short-term investments, and equity and other investments. NOPAT uses an 18% normalized tax rate.</x:v>
      </x:c>
      <x:c r="B37" s="98"/>
      <x:c r="C37" s="98"/>
      <x:c r="D37" s="98"/>
      <x:c r="E37" s="98"/>
      <x:c r="F37" s="98"/>
      <x:c r="G37" s="98"/>
      <x:c r="H37" s="12"/>
    </x:row>
    <x:row r="38">
      <x:c r="A38" s="12" t="str">
        <x:v>NOPAT Check</x:v>
      </x:c>
      <x:c r="B38" s="126" t="n">
        <x:f>B23-(B21*(1-B22))</x:f>
        <x:v>0</x:v>
      </x:c>
      <x:c r="C38" s="126" t="n">
        <x:f>C23-(C21*(1-C22))</x:f>
        <x:v>0</x:v>
      </x:c>
      <x:c r="D38" s="126" t="n">
        <x:f>D23-(D21*(1-D22))</x:f>
        <x:v>0</x:v>
      </x:c>
      <x:c r="E38" s="126" t="n">
        <x:f>E23-(E21*(1-E22))</x:f>
        <x:v>0</x:v>
      </x:c>
      <x:c r="F38" s="126" t="n">
        <x:f>F23-(F21*(1-F22))</x:f>
        <x:v>0</x:v>
      </x:c>
      <x:c r="G38" s="126" t="n">
        <x:f>G23-(G21*(1-G22))</x:f>
        <x:v>0</x:v>
      </x:c>
      <x:c r="H38" s="12"/>
    </x:row>
    <x:row r="39">
      <x:c r="A39" s="12" t="str">
        <x:v>ROIC Check</x:v>
      </x:c>
      <x:c r="B39" s="126" t="n">
        <x:f>B26-(B23/B25)</x:f>
        <x:v>0</x:v>
      </x:c>
      <x:c r="C39" s="126" t="n">
        <x:f>C26-(C23/C25)</x:f>
        <x:v>0</x:v>
      </x:c>
      <x:c r="D39" s="126" t="n">
        <x:f>D26-(D23/D25)</x:f>
        <x:v>0</x:v>
      </x:c>
      <x:c r="E39" s="126" t="n">
        <x:f>E26-(E23/E25)</x:f>
        <x:v>0</x:v>
      </x:c>
      <x:c r="F39" s="126" t="n">
        <x:f>F26-(F23/F25)</x:f>
        <x:v>0</x:v>
      </x:c>
      <x:c r="G39" s="126" t="n">
        <x:f>G26-(G23/G25)</x:f>
        <x:v>0</x:v>
      </x:c>
      <x:c r="H39" s="12"/>
    </x:row>
    <x:row r="40">
      <x:c r="A40" s="12"/>
      <x:c r="B40" s="12"/>
      <x:c r="C40" s="12"/>
      <x:c r="D40" s="12"/>
      <x:c r="E40" s="12"/>
      <x:c r="F40" s="12"/>
      <x:c r="G40" s="12"/>
      <x:c r="H40" s="12"/>
    </x:row>
    <x:row r="41">
      <x:c r="A41" s="12"/>
      <x:c r="B41" s="12"/>
      <x:c r="C41" s="12"/>
      <x:c r="D41" s="12"/>
      <x:c r="E41" s="12"/>
      <x:c r="F41" s="12"/>
      <x:c r="G41" s="12"/>
      <x:c r="H41" s="12"/>
    </x:row>
  </x:sheetData>
  <x:mergeCells>
    <x:mergeCell ref="B33:G33"/>
    <x:mergeCell ref="B34:G34"/>
    <x:mergeCell ref="B35:G35"/>
    <x:mergeCell ref="B36:G36"/>
    <x:mergeCell ref="A37:G37"/>
    <x:mergeCell ref="A1:G1"/>
    <x:mergeCell ref="A2:G2"/>
    <x:mergeCell ref="A4:G4"/>
    <x:mergeCell ref="A14:G14"/>
    <x:mergeCell ref="A19:G19"/>
    <x:mergeCell ref="A32:G32"/>
  </x:mergeCells>
  <x:pageMargins left="0.7" right="0.7" top="0.75" bottom="0.75" header="0.3" footer="0.3"/>
  <x:drawing xmlns:r="http://schemas.openxmlformats.org/officeDocument/2006/relationships" r:id="R208a5224a5954e24"/>
</x:worksheet>
</file>

<file path=xl/worksheets/sheet5.xml><?xml version="1.0" encoding="utf-8"?>
<x:worksheet xmlns:x="http://schemas.openxmlformats.org/spreadsheetml/2006/main">
  <x:sheetFormatPr defaultRowHeight="15"/>
  <x:cols>
    <x:col min="1" max="1" width="42"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3" hidden="0" customWidth="1"/>
  </x:cols>
  <x:sheetData>
    <x:row r="1" ht="28" customHeight="1">
      <x:c r="A1" s="16" t="str">
        <x:v>Microsoft Invested Capital Schedule</x:v>
      </x:c>
      <x:c r="B1" s="16"/>
      <x:c r="C1" s="16"/>
      <x:c r="D1" s="16"/>
      <x:c r="E1" s="16"/>
      <x:c r="F1" s="16"/>
      <x:c r="G1" s="16"/>
      <x:c r="H1" s="16"/>
      <x:c r="I1" s="12"/>
    </x:row>
    <x:row r="2" ht="20" customHeight="1">
      <x:c r="A2" s="22" t="str">
        <x:v>USD in millions</x:v>
      </x:c>
      <x:c r="B2" s="22"/>
      <x:c r="C2" s="22"/>
      <x:c r="D2" s="22"/>
      <x:c r="E2" s="22"/>
      <x:c r="F2" s="22"/>
      <x:c r="G2" s="22"/>
      <x:c r="H2" s="22"/>
      <x:c r="I2" s="12"/>
    </x:row>
    <x:row r="3">
      <x:c r="A3" s="12"/>
      <x:c r="B3" s="12"/>
      <x:c r="C3" s="12"/>
      <x:c r="D3" s="12"/>
      <x:c r="E3" s="12"/>
      <x:c r="F3" s="12"/>
      <x:c r="G3" s="12"/>
      <x:c r="H3" s="12"/>
      <x:c r="I3" s="12"/>
    </x:row>
    <x:row r="4">
      <x:c r="A4" s="33" t="str">
        <x:v>Metric</x:v>
      </x:c>
      <x:c r="B4" s="33" t="str">
        <x:v>FY2020</x:v>
      </x:c>
      <x:c r="C4" s="33" t="str">
        <x:v>FY2021</x:v>
      </x:c>
      <x:c r="D4" s="33" t="str">
        <x:v>FY2022</x:v>
      </x:c>
      <x:c r="E4" s="33" t="str">
        <x:v>FY2023</x:v>
      </x:c>
      <x:c r="F4" s="33" t="str">
        <x:v>FY2024</x:v>
      </x:c>
      <x:c r="G4" s="33" t="str">
        <x:v>FY2025</x:v>
      </x:c>
      <x:c r="H4" s="33" t="str">
        <x:v>FY2026</x:v>
      </x:c>
      <x:c r="I4" s="12"/>
    </x:row>
    <x:row r="5">
      <x:c r="A5" s="12" t="str">
        <x:v>Total Stockholders' Equity</x:v>
      </x:c>
      <x:c r="B5" s="51" t="n">
        <x:v>118304</x:v>
      </x:c>
      <x:c r="C5" s="51" t="n">
        <x:v>141988</x:v>
      </x:c>
      <x:c r="D5" s="51" t="n">
        <x:v>166542</x:v>
      </x:c>
      <x:c r="E5" s="51" t="n">
        <x:v>206223</x:v>
      </x:c>
      <x:c r="F5" s="51" t="n">
        <x:v>268477</x:v>
      </x:c>
      <x:c r="G5" s="51" t="n">
        <x:v>343479</x:v>
      </x:c>
      <x:c r="H5" s="51" t="n">
        <x:v>442387</x:v>
      </x:c>
      <x:c r="I5" s="12"/>
    </x:row>
    <x:row r="6">
      <x:c r="A6" s="12" t="str">
        <x:v>Short-Term Debt</x:v>
      </x:c>
      <x:c r="B6" s="51" t="n">
        <x:v>0</x:v>
      </x:c>
      <x:c r="C6" s="51" t="n">
        <x:v>0</x:v>
      </x:c>
      <x:c r="D6" s="51" t="n">
        <x:v>0</x:v>
      </x:c>
      <x:c r="E6" s="51" t="n">
        <x:v>0</x:v>
      </x:c>
      <x:c r="F6" s="51" t="n">
        <x:v>6693</x:v>
      </x:c>
      <x:c r="G6" s="51" t="n">
        <x:v>0</x:v>
      </x:c>
      <x:c r="H6" s="51" t="n">
        <x:v>0</x:v>
      </x:c>
      <x:c r="I6" s="12"/>
    </x:row>
    <x:row r="7">
      <x:c r="A7" s="12" t="str">
        <x:v>Current Portion of Long-Term Debt</x:v>
      </x:c>
      <x:c r="B7" s="51" t="n">
        <x:v>3749</x:v>
      </x:c>
      <x:c r="C7" s="51" t="n">
        <x:v>8072</x:v>
      </x:c>
      <x:c r="D7" s="51" t="n">
        <x:v>2749</x:v>
      </x:c>
      <x:c r="E7" s="51" t="n">
        <x:v>5247</x:v>
      </x:c>
      <x:c r="F7" s="51" t="n">
        <x:v>2249</x:v>
      </x:c>
      <x:c r="G7" s="51" t="n">
        <x:v>2999</x:v>
      </x:c>
      <x:c r="H7" s="51" t="n">
        <x:v>9227</x:v>
      </x:c>
      <x:c r="I7" s="12"/>
    </x:row>
    <x:row r="8">
      <x:c r="A8" s="12" t="str">
        <x:v>Long-Term Debt</x:v>
      </x:c>
      <x:c r="B8" s="51" t="n">
        <x:v>59578</x:v>
      </x:c>
      <x:c r="C8" s="51" t="n">
        <x:v>50074</x:v>
      </x:c>
      <x:c r="D8" s="51" t="n">
        <x:v>47032</x:v>
      </x:c>
      <x:c r="E8" s="51" t="n">
        <x:v>41990</x:v>
      </x:c>
      <x:c r="F8" s="51" t="n">
        <x:v>42688</x:v>
      </x:c>
      <x:c r="G8" s="51" t="n">
        <x:v>40152</x:v>
      </x:c>
      <x:c r="H8" s="51" t="n">
        <x:v>31067</x:v>
      </x:c>
      <x:c r="I8" s="12"/>
    </x:row>
    <x:row r="9">
      <x:c r="A9" s="12" t="str">
        <x:v>Finance Lease Liabilities</x:v>
      </x:c>
      <x:c r="B9" s="51" t="n">
        <x:v>9496</x:v>
      </x:c>
      <x:c r="C9" s="51" t="n">
        <x:v>12541</x:v>
      </x:c>
      <x:c r="D9" s="51" t="n">
        <x:v>14902</x:v>
      </x:c>
      <x:c r="E9" s="51" t="n">
        <x:v>17067</x:v>
      </x:c>
      <x:c r="F9" s="51" t="n">
        <x:v>27145</x:v>
      </x:c>
      <x:c r="G9" s="51" t="n">
        <x:v>46172</x:v>
      </x:c>
      <x:c r="H9" s="51" t="n">
        <x:v>66594</x:v>
      </x:c>
      <x:c r="I9" s="12"/>
    </x:row>
    <x:row r="10">
      <x:c r="A10" s="12" t="str">
        <x:v>Cash and Cash Equivalents</x:v>
      </x:c>
      <x:c r="B10" s="51" t="n">
        <x:v>13576</x:v>
      </x:c>
      <x:c r="C10" s="51" t="n">
        <x:v>14224</x:v>
      </x:c>
      <x:c r="D10" s="51" t="n">
        <x:v>13931</x:v>
      </x:c>
      <x:c r="E10" s="51" t="n">
        <x:v>34704</x:v>
      </x:c>
      <x:c r="F10" s="51" t="n">
        <x:v>18315</x:v>
      </x:c>
      <x:c r="G10" s="51" t="n">
        <x:v>30242</x:v>
      </x:c>
      <x:c r="H10" s="51" t="n">
        <x:v>20935</x:v>
      </x:c>
      <x:c r="I10" s="12"/>
    </x:row>
    <x:row r="11">
      <x:c r="A11" s="12" t="str">
        <x:v>Short-Term Investments</x:v>
      </x:c>
      <x:c r="B11" s="51" t="n">
        <x:v>122951</x:v>
      </x:c>
      <x:c r="C11" s="51" t="n">
        <x:v>116110</x:v>
      </x:c>
      <x:c r="D11" s="51" t="n">
        <x:v>90826</x:v>
      </x:c>
      <x:c r="E11" s="51" t="n">
        <x:v>76558</x:v>
      </x:c>
      <x:c r="F11" s="51" t="n">
        <x:v>57228</x:v>
      </x:c>
      <x:c r="G11" s="51" t="n">
        <x:v>64323</x:v>
      </x:c>
      <x:c r="H11" s="51" t="n">
        <x:v>55908</x:v>
      </x:c>
      <x:c r="I11" s="12"/>
    </x:row>
    <x:row r="12">
      <x:c r="A12" s="12" t="str">
        <x:v>Equity and Other Investments</x:v>
      </x:c>
      <x:c r="B12" s="51" t="n">
        <x:v>2965</x:v>
      </x:c>
      <x:c r="C12" s="51" t="n">
        <x:v>5984</x:v>
      </x:c>
      <x:c r="D12" s="51" t="n">
        <x:v>6891</x:v>
      </x:c>
      <x:c r="E12" s="51" t="n">
        <x:v>9879</x:v>
      </x:c>
      <x:c r="F12" s="51" t="n">
        <x:v>14600</x:v>
      </x:c>
      <x:c r="G12" s="51" t="n">
        <x:v>15405</x:v>
      </x:c>
      <x:c r="H12" s="51" t="n">
        <x:v>36348</x:v>
      </x:c>
      <x:c r="I12" s="12"/>
    </x:row>
    <x:row r="13">
      <x:c r="A13" s="90" t="str">
        <x:v>Ending Invested Capital</x:v>
      </x:c>
      <x:c r="B13" s="91" t="n">
        <x:f>B5+B6+B7+B8+B9-B10-B11-B12</x:f>
        <x:v>51635</x:v>
      </x:c>
      <x:c r="C13" s="91" t="n">
        <x:f>C5+C6+C7+C8+C9-C10-C11-C12</x:f>
        <x:v>76357</x:v>
      </x:c>
      <x:c r="D13" s="91" t="n">
        <x:v>119577</x:v>
      </x:c>
      <x:c r="E13" s="91" t="n">
        <x:v>149386</x:v>
      </x:c>
      <x:c r="F13" s="91" t="n">
        <x:v>257109</x:v>
      </x:c>
      <x:c r="G13" s="91" t="n">
        <x:v>322832</x:v>
      </x:c>
      <x:c r="H13" s="91" t="n">
        <x:v>436084</x:v>
      </x:c>
      <x:c r="I13" s="12"/>
    </x:row>
    <x:row r="14">
      <x:c r="A14" s="90" t="str">
        <x:v>Average Invested Capital</x:v>
      </x:c>
      <x:c r="B14" s="91"/>
      <x:c r="C14" s="91" t="n">
        <x:f>AVERAGE(B13,C13)</x:f>
        <x:v>63996</x:v>
      </x:c>
      <x:c r="D14" s="91" t="n">
        <x:f>AVERAGE(C13,D13)</x:f>
        <x:v>97967</x:v>
      </x:c>
      <x:c r="E14" s="91" t="n">
        <x:v>134481.5</x:v>
      </x:c>
      <x:c r="F14" s="91" t="n">
        <x:v>203247.5</x:v>
      </x:c>
      <x:c r="G14" s="91" t="n">
        <x:v>289970.5</x:v>
      </x:c>
      <x:c r="H14" s="91" t="n">
        <x:v>379458</x:v>
      </x:c>
      <x:c r="I14" s="12"/>
    </x:row>
    <x:row r="15">
      <x:c r="A15" s="12"/>
      <x:c r="B15" s="12"/>
      <x:c r="C15" s="12"/>
      <x:c r="D15" s="12"/>
      <x:c r="E15" s="12"/>
      <x:c r="F15" s="12"/>
      <x:c r="G15" s="12"/>
      <x:c r="H15" s="12"/>
      <x:c r="I15" s="12"/>
    </x:row>
    <x:row r="16">
      <x:c r="A16" s="12"/>
      <x:c r="B16" s="12"/>
      <x:c r="C16" s="12"/>
      <x:c r="D16" s="12"/>
      <x:c r="E16" s="12"/>
      <x:c r="F16" s="12"/>
      <x:c r="G16" s="12"/>
      <x:c r="H16" s="12"/>
      <x:c r="I16" s="12"/>
    </x:row>
    <x:row r="17">
      <x:c r="A17" s="33" t="str">
        <x:v>Validation Checks</x:v>
      </x:c>
      <x:c r="B17" s="33"/>
      <x:c r="C17" s="33" t="str">
        <x:v>FY2021</x:v>
      </x:c>
      <x:c r="D17" s="33" t="str">
        <x:v>FY2022</x:v>
      </x:c>
      <x:c r="E17" s="33" t="str">
        <x:v>FY2023</x:v>
      </x:c>
      <x:c r="F17" s="33" t="str">
        <x:v>FY2024</x:v>
      </x:c>
      <x:c r="G17" s="33" t="str">
        <x:v>FY2025</x:v>
      </x:c>
      <x:c r="H17" s="33" t="str">
        <x:v>FY2026</x:v>
      </x:c>
      <x:c r="I17" s="12"/>
    </x:row>
    <x:row r="18">
      <x:c r="A18" s="12" t="str">
        <x:v>Average Invested Capital Check</x:v>
      </x:c>
      <x:c r="B18" s="12"/>
      <x:c r="C18" s="126" t="n">
        <x:f>C14-AVERAGE(B13,C13)</x:f>
        <x:v>0</x:v>
      </x:c>
      <x:c r="D18" s="126" t="n">
        <x:f>D14-AVERAGE(C13,D13)</x:f>
        <x:v>0</x:v>
      </x:c>
      <x:c r="E18" s="126" t="n">
        <x:v>0</x:v>
      </x:c>
      <x:c r="F18" s="126" t="n">
        <x:v>0</x:v>
      </x:c>
      <x:c r="G18" s="126" t="n">
        <x:v>0</x:v>
      </x:c>
      <x:c r="H18" s="126" t="n">
        <x:v>0</x:v>
      </x:c>
      <x:c r="I18" s="12"/>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3" hidden="0" customWidth="1"/>
  </x:cols>
  <x:sheetData>
    <x:row r="1" ht="28" customHeight="1">
      <x:c r="A1" s="16" t="str">
        <x:v>Microsoft Segment Driver Analysis</x:v>
      </x:c>
      <x:c r="B1" s="16"/>
      <x:c r="C1" s="16"/>
      <x:c r="D1" s="16"/>
      <x:c r="E1" s="16"/>
      <x:c r="F1" s="16"/>
      <x:c r="G1" s="16"/>
      <x:c r="H1" s="16"/>
      <x:c r="I1" s="16"/>
      <x:c r="J1" s="16"/>
      <x:c r="K1" s="16"/>
      <x:c r="L1" s="16"/>
      <x:c r="M1" s="16"/>
      <x:c r="N1" s="16"/>
      <x:c r="O1" s="16"/>
      <x:c r="P1" s="12"/>
    </x:row>
    <x:row r="2" ht="20" customHeight="1">
      <x:c r="A2" s="22" t="str">
        <x:v>USD in millions, except percentages</x:v>
      </x:c>
      <x:c r="B2" s="22"/>
      <x:c r="C2" s="22"/>
      <x:c r="D2" s="22"/>
      <x:c r="E2" s="22"/>
      <x:c r="F2" s="22"/>
      <x:c r="G2" s="22"/>
      <x:c r="H2" s="22"/>
      <x:c r="I2" s="22"/>
      <x:c r="J2" s="22"/>
      <x:c r="K2" s="22"/>
      <x:c r="L2" s="22"/>
      <x:c r="M2" s="22"/>
      <x:c r="N2" s="22"/>
      <x:c r="O2" s="22"/>
      <x:c r="P2" s="12"/>
    </x:row>
    <x:row r="3">
      <x:c r="A3" s="12"/>
      <x:c r="B3" s="12"/>
      <x:c r="C3" s="12"/>
      <x:c r="D3" s="12"/>
      <x:c r="E3" s="12"/>
      <x:c r="F3" s="12"/>
      <x:c r="G3" s="12"/>
      <x:c r="H3" s="12"/>
      <x:c r="I3" s="12"/>
      <x:c r="J3" s="12"/>
      <x:c r="K3" s="12"/>
      <x:c r="L3" s="12"/>
      <x:c r="M3" s="12"/>
      <x:c r="N3" s="12"/>
      <x:c r="O3" s="12"/>
      <x:c r="P3" s="12"/>
    </x:row>
    <x:row r="4">
      <x:c r="A4" s="33" t="str">
        <x:v>Metric</x:v>
      </x:c>
      <x:c r="B4" s="134" t="str">
        <x:v>FY2023A</x:v>
      </x:c>
      <x:c r="C4" s="134" t="str">
        <x:v>FY2024A</x:v>
      </x:c>
      <x:c r="D4" s="134" t="str">
        <x:v>FY2025A</x:v>
      </x:c>
      <x:c r="E4" s="134" t="str">
        <x:v>FY2026A</x:v>
      </x:c>
      <x:c r="F4" s="138" t="str">
        <x:v>FY2027E</x:v>
      </x:c>
      <x:c r="G4" s="136" t="str">
        <x:v>FY2028E</x:v>
      </x:c>
      <x:c r="H4" s="136" t="str">
        <x:v>FY2029E</x:v>
      </x:c>
      <x:c r="I4" s="136" t="str">
        <x:v>FY2030E</x:v>
      </x:c>
      <x:c r="J4" s="136" t="str">
        <x:v>FY2031E</x:v>
      </x:c>
      <x:c r="K4" s="136" t="str">
        <x:v>FY2032E</x:v>
      </x:c>
      <x:c r="L4" s="136" t="str">
        <x:v>FY2033E</x:v>
      </x:c>
      <x:c r="M4" s="136" t="str">
        <x:v>FY2034E</x:v>
      </x:c>
      <x:c r="N4" s="136" t="str">
        <x:v>FY2035E</x:v>
      </x:c>
      <x:c r="O4" s="136" t="str">
        <x:v>FY2036E</x:v>
      </x:c>
      <x:c r="P4" s="12"/>
    </x:row>
    <x:row r="5">
      <x:c r="A5" s="12"/>
      <x:c r="B5" s="12"/>
      <x:c r="C5" s="12"/>
      <x:c r="D5" s="12"/>
      <x:c r="E5" s="12"/>
      <x:c r="F5" s="115"/>
      <x:c r="G5" s="12"/>
      <x:c r="H5" s="12"/>
      <x:c r="I5" s="12"/>
      <x:c r="J5" s="12"/>
      <x:c r="K5" s="12"/>
      <x:c r="L5" s="12"/>
      <x:c r="M5" s="12"/>
      <x:c r="N5" s="12"/>
      <x:c r="O5" s="12"/>
      <x:c r="P5" s="12"/>
    </x:row>
    <x:row r="6" ht="20" customHeight="1">
      <x:c r="A6" s="27" t="str">
        <x:v>Productivity &amp; Business Processes</x:v>
      </x:c>
      <x:c r="B6" s="27"/>
      <x:c r="C6" s="27"/>
      <x:c r="D6" s="27"/>
      <x:c r="E6" s="27"/>
      <x:c r="F6" s="139"/>
      <x:c r="G6" s="27"/>
      <x:c r="H6" s="27"/>
      <x:c r="I6" s="27"/>
      <x:c r="J6" s="27"/>
      <x:c r="K6" s="27"/>
      <x:c r="L6" s="27"/>
      <x:c r="M6" s="27"/>
      <x:c r="N6" s="27"/>
      <x:c r="O6" s="27"/>
      <x:c r="P6" s="12"/>
    </x:row>
    <x:row r="7">
      <x:c r="A7" s="12" t="str">
        <x:v>Revenue</x:v>
      </x:c>
      <x:c r="B7" s="62" t="n">
        <x:f>'02_Historical_Financials'!D36</x:f>
        <x:v>94151</x:v>
      </x:c>
      <x:c r="C7" s="62" t="n">
        <x:f>'02_Historical_Financials'!E36</x:f>
        <x:v>106820</x:v>
      </x:c>
      <x:c r="D7" s="62" t="n">
        <x:f>'02_Historical_Financials'!F36</x:f>
        <x:v>120810</x:v>
      </x:c>
      <x:c r="E7" s="62" t="n">
        <x:f>'02_Historical_Financials'!G36</x:f>
        <x:v>139996</x:v>
      </x:c>
      <x:c r="F7" s="144" t="n">
        <x:f>E7*(1+F8)</x:f>
        <x:v>156795.52000000002</x:v>
      </x:c>
      <x:c r="G7" s="44" t="n">
        <x:f>F7*(1+G8)</x:f>
        <x:v>173259.04960000003</x:v>
      </x:c>
      <x:c r="H7" s="44" t="n">
        <x:f>G7*(1+H8)</x:f>
        <x:v>188852.36406400005</x:v>
      </x:c>
      <x:c r="I7" s="44" t="n">
        <x:f>H7*(1+I8)</x:f>
        <x:v>203960.55318912008</x:v>
      </x:c>
      <x:c r="J7" s="44" t="n">
        <x:f>I7*(1+J8)</x:f>
        <x:v>218237.7919123585</x:v>
      </x:c>
      <x:c r="K7" s="44" t="n">
        <x:f>J7*(1+K8)</x:f>
        <x:v>231332.0594271</x:v>
      </x:c>
      <x:c r="L7" s="44" t="n">
        <x:f>K7*(1+L8)</x:f>
        <x:v>244055.3226955905</x:v>
      </x:c>
      <x:c r="M7" s="44" t="n">
        <x:f>L7*(1+M8)</x:f>
        <x:v>256258.08883037002</x:v>
      </x:c>
      <x:c r="N7" s="44" t="n">
        <x:f>M7*(1+N8)</x:f>
        <x:v>267789.7028277367</x:v>
      </x:c>
      <x:c r="O7" s="44" t="n">
        <x:f>N7*(1+O8)</x:f>
        <x:v>278501.29094084614</x:v>
      </x:c>
      <x:c r="P7" s="12"/>
    </x:row>
    <x:row r="8">
      <x:c r="A8" s="12" t="str">
        <x:v>Revenue Growth</x:v>
      </x:c>
      <x:c r="B8" s="128"/>
      <x:c r="C8" s="128" t="n">
        <x:f>'02_Historical_Financials'!E47</x:f>
        <x:v>0.1345604401440239</x:v>
      </x:c>
      <x:c r="D8" s="128" t="n">
        <x:f>'02_Historical_Financials'!F47</x:f>
        <x:v>0.13096798352368477</x:v>
      </x:c>
      <x:c r="E8" s="128" t="n">
        <x:f>'02_Historical_Financials'!G47</x:f>
        <x:v>0.15881135667577184</x:v>
      </x:c>
      <x:c r="F8" s="146" t="n">
        <x:f>'00_Assumptions'!B8</x:f>
        <x:v>0.12</x:v>
      </x:c>
      <x:c r="G8" s="128" t="n">
        <x:f>'00_Assumptions'!C8</x:f>
        <x:v>0.105</x:v>
      </x:c>
      <x:c r="H8" s="128" t="n">
        <x:f>'00_Assumptions'!D8</x:f>
        <x:v>0.09</x:v>
      </x:c>
      <x:c r="I8" s="128" t="n">
        <x:f>'00_Assumptions'!E8</x:f>
        <x:v>0.08</x:v>
      </x:c>
      <x:c r="J8" s="128" t="n">
        <x:f>'00_Assumptions'!F8</x:f>
        <x:v>0.07</x:v>
      </x:c>
      <x:c r="K8" s="128" t="n">
        <x:f>'00_Assumptions'!G8</x:f>
        <x:v>0.06</x:v>
      </x:c>
      <x:c r="L8" s="128" t="n">
        <x:f>'00_Assumptions'!H8</x:f>
        <x:v>0.055</x:v>
      </x:c>
      <x:c r="M8" s="128" t="n">
        <x:f>'00_Assumptions'!I8</x:f>
        <x:v>0.05</x:v>
      </x:c>
      <x:c r="N8" s="128" t="n">
        <x:f>'00_Assumptions'!J8</x:f>
        <x:v>0.045</x:v>
      </x:c>
      <x:c r="O8" s="128" t="n">
        <x:f>'00_Assumptions'!K8</x:f>
        <x:v>0.04</x:v>
      </x:c>
      <x:c r="P8" s="12"/>
    </x:row>
    <x:row r="9">
      <x:c r="A9" s="12" t="str">
        <x:v>Operating Income</x:v>
      </x:c>
      <x:c r="B9" s="62" t="n">
        <x:f>'02_Historical_Financials'!D42</x:f>
        <x:v>50074</x:v>
      </x:c>
      <x:c r="C9" s="62" t="n">
        <x:f>'02_Historical_Financials'!E42</x:f>
        <x:v>59661</x:v>
      </x:c>
      <x:c r="D9" s="62" t="n">
        <x:f>'02_Historical_Financials'!F42</x:f>
        <x:v>69773</x:v>
      </x:c>
      <x:c r="E9" s="62" t="n">
        <x:f>'02_Historical_Financials'!G42</x:f>
        <x:v>83879</x:v>
      </x:c>
      <x:c r="F9" s="144" t="n">
        <x:f>F7*F10</x:f>
        <x:v>92509.35680000001</x:v>
      </x:c>
      <x:c r="G9" s="44" t="n">
        <x:f>G7*G10</x:f>
        <x:v>103089.13451200002</x:v>
      </x:c>
      <x:c r="H9" s="44" t="n">
        <x:f>H7*H10</x:f>
        <x:v>112933.71371027203</x:v>
      </x:c>
      <x:c r="I9" s="44" t="n">
        <x:f>I7*I10</x:f>
        <x:v>122376.33191347204</x:v>
      </x:c>
      <x:c r="J9" s="44" t="n">
        <x:f>J7*J10</x:f>
        <x:v>130506.19956359037</x:v>
      </x:c>
      <x:c r="K9" s="44" t="n">
        <x:f>K7*K10</x:f>
        <x:v>137642.5753591245</x:v>
      </x:c>
      <x:c r="L9" s="44" t="n">
        <x:f>L7*L10</x:f>
        <x:v>144480.75103578958</x:v>
      </x:c>
      <x:c r="M9" s="44" t="n">
        <x:f>M7*M10</x:f>
        <x:v>151192.2724099183</x:v>
      </x:c>
      <x:c r="N9" s="44" t="n">
        <x:f>N7*N10</x:f>
        <x:v>157460.34526270916</x:v>
      </x:c>
      <x:c r="O9" s="44" t="n">
        <x:f>O7*O10</x:f>
        <x:v>162923.25520039498</x:v>
      </x:c>
      <x:c r="P9" s="12"/>
    </x:row>
    <x:row r="10">
      <x:c r="A10" s="12" t="str">
        <x:v>Operating Margin</x:v>
      </x:c>
      <x:c r="B10" s="128" t="n">
        <x:f>'02_Historical_Financials'!D51</x:f>
        <x:v>0.5318477764442225</x:v>
      </x:c>
      <x:c r="C10" s="128" t="n">
        <x:f>'02_Historical_Financials'!E51</x:f>
        <x:v>0.558519003931848</x:v>
      </x:c>
      <x:c r="D10" s="128" t="n">
        <x:f>'02_Historical_Financials'!F51</x:f>
        <x:v>0.5775432497309826</x:v>
      </x:c>
      <x:c r="E10" s="128" t="n">
        <x:f>'02_Historical_Financials'!G51</x:f>
        <x:v>0.599152832938084</x:v>
      </x:c>
      <x:c r="F10" s="146" t="n">
        <x:f>'00_Assumptions'!B9</x:f>
        <x:v>0.59</x:v>
      </x:c>
      <x:c r="G10" s="128" t="n">
        <x:f>'00_Assumptions'!C9</x:f>
        <x:v>0.595</x:v>
      </x:c>
      <x:c r="H10" s="128" t="n">
        <x:f>'00_Assumptions'!D9</x:f>
        <x:v>0.598</x:v>
      </x:c>
      <x:c r="I10" s="128" t="n">
        <x:f>'00_Assumptions'!E9</x:f>
        <x:v>0.6</x:v>
      </x:c>
      <x:c r="J10" s="128" t="n">
        <x:f>'00_Assumptions'!F9</x:f>
        <x:v>0.598</x:v>
      </x:c>
      <x:c r="K10" s="128" t="n">
        <x:f>'00_Assumptions'!G9</x:f>
        <x:v>0.595</x:v>
      </x:c>
      <x:c r="L10" s="128" t="n">
        <x:f>'00_Assumptions'!H9</x:f>
        <x:v>0.592</x:v>
      </x:c>
      <x:c r="M10" s="128" t="n">
        <x:f>'00_Assumptions'!I9</x:f>
        <x:v>0.59</x:v>
      </x:c>
      <x:c r="N10" s="128" t="n">
        <x:f>'00_Assumptions'!J9</x:f>
        <x:v>0.588</x:v>
      </x:c>
      <x:c r="O10" s="128" t="n">
        <x:f>'00_Assumptions'!K9</x:f>
        <x:v>0.585</x:v>
      </x:c>
      <x:c r="P10" s="12"/>
    </x:row>
    <x:row r="11">
      <x:c r="A11" s="12"/>
      <x:c r="B11" s="12"/>
      <x:c r="C11" s="12"/>
      <x:c r="D11" s="12"/>
      <x:c r="E11" s="12"/>
      <x:c r="F11" s="115"/>
      <x:c r="G11" s="12"/>
      <x:c r="H11" s="12"/>
      <x:c r="I11" s="12"/>
      <x:c r="J11" s="12"/>
      <x:c r="K11" s="12"/>
      <x:c r="L11" s="12"/>
      <x:c r="M11" s="12"/>
      <x:c r="N11" s="12"/>
      <x:c r="O11" s="12"/>
      <x:c r="P11" s="12"/>
    </x:row>
    <x:row r="12">
      <x:c r="A12" s="12"/>
      <x:c r="B12" s="12"/>
      <x:c r="C12" s="12"/>
      <x:c r="D12" s="12"/>
      <x:c r="E12" s="12"/>
      <x:c r="F12" s="115"/>
      <x:c r="G12" s="12"/>
      <x:c r="H12" s="12"/>
      <x:c r="I12" s="12"/>
      <x:c r="J12" s="12"/>
      <x:c r="K12" s="12"/>
      <x:c r="L12" s="12"/>
      <x:c r="M12" s="12"/>
      <x:c r="N12" s="12"/>
      <x:c r="O12" s="12"/>
      <x:c r="P12" s="12"/>
    </x:row>
    <x:row r="13" ht="20" customHeight="1">
      <x:c r="A13" s="27" t="str">
        <x:v>Intelligent Cloud</x:v>
      </x:c>
      <x:c r="B13" s="27"/>
      <x:c r="C13" s="27"/>
      <x:c r="D13" s="27"/>
      <x:c r="E13" s="27"/>
      <x:c r="F13" s="139"/>
      <x:c r="G13" s="27"/>
      <x:c r="H13" s="27"/>
      <x:c r="I13" s="27"/>
      <x:c r="J13" s="27"/>
      <x:c r="K13" s="27"/>
      <x:c r="L13" s="27"/>
      <x:c r="M13" s="27"/>
      <x:c r="N13" s="27"/>
      <x:c r="O13" s="27"/>
      <x:c r="P13" s="12"/>
    </x:row>
    <x:row r="14">
      <x:c r="A14" s="12" t="str">
        <x:v>Revenue</x:v>
      </x:c>
      <x:c r="B14" s="62" t="n">
        <x:f>'02_Historical_Financials'!D37</x:f>
        <x:v>72944</x:v>
      </x:c>
      <x:c r="C14" s="62" t="n">
        <x:f>'02_Historical_Financials'!E37</x:f>
        <x:v>87464</x:v>
      </x:c>
      <x:c r="D14" s="62" t="n">
        <x:f>'02_Historical_Financials'!F37</x:f>
        <x:v>106265</x:v>
      </x:c>
      <x:c r="E14" s="62" t="n">
        <x:f>'02_Historical_Financials'!G37</x:f>
        <x:v>137791</x:v>
      </x:c>
      <x:c r="F14" s="144" t="n">
        <x:f>E14*(1+F15)</x:f>
        <x:v>179128.30000000002</x:v>
      </x:c>
      <x:c r="G14" s="44" t="n">
        <x:f>F14*(1+G15)</x:f>
        <x:v>222119.09200000003</x:v>
      </x:c>
      <x:c r="H14" s="44" t="n">
        <x:f>G14*(1+H15)</x:f>
        <x:v>266542.91040000005</x:v>
      </x:c>
      <x:c r="I14" s="44" t="n">
        <x:f>H14*(1+I15)</x:f>
        <x:v>309189.77606400003</x:v>
      </x:c>
      <x:c r="J14" s="44" t="n">
        <x:f>I14*(1+J15)</x:f>
        <x:v>349384.44695232</x:v>
      </x:c>
      <x:c r="K14" s="44" t="n">
        <x:f>J14*(1+K15)</x:f>
        <x:v>384322.891647552</x:v>
      </x:c>
      <x:c r="L14" s="44" t="n">
        <x:f>K14*(1+L15)</x:f>
        <x:v>416990.33743759396</x:v>
      </x:c>
      <x:c r="M14" s="44" t="n">
        <x:f>L14*(1+M15)</x:f>
        <x:v>446179.66105822555</x:v>
      </x:c>
      <x:c r="N14" s="44" t="n">
        <x:f>M14*(1+N15)</x:f>
        <x:v>472950.4407217191</x:v>
      </x:c>
      <x:c r="O14" s="44" t="n">
        <x:f>N14*(1+O15)</x:f>
        <x:v>498962.71496141364</x:v>
      </x:c>
      <x:c r="P14" s="12"/>
    </x:row>
    <x:row r="15">
      <x:c r="A15" s="12" t="str">
        <x:v>Revenue Growth</x:v>
      </x:c>
      <x:c r="B15" s="128"/>
      <x:c r="C15" s="128" t="n">
        <x:f>'02_Historical_Financials'!E48</x:f>
        <x:v>0.19905681070410175</x:v>
      </x:c>
      <x:c r="D15" s="128" t="n">
        <x:f>'02_Historical_Financials'!F48</x:f>
        <x:v>0.21495701088447827</x:v>
      </x:c>
      <x:c r="E15" s="128" t="n">
        <x:f>'02_Historical_Financials'!G48</x:f>
        <x:v>0.29667341081259124</x:v>
      </x:c>
      <x:c r="F15" s="146" t="n">
        <x:f>'00_Assumptions'!B10</x:f>
        <x:v>0.3</x:v>
      </x:c>
      <x:c r="G15" s="128" t="n">
        <x:f>'00_Assumptions'!C10</x:f>
        <x:v>0.24</x:v>
      </x:c>
      <x:c r="H15" s="128" t="n">
        <x:f>'00_Assumptions'!D10</x:f>
        <x:v>0.2</x:v>
      </x:c>
      <x:c r="I15" s="128" t="n">
        <x:f>'00_Assumptions'!E10</x:f>
        <x:v>0.16</x:v>
      </x:c>
      <x:c r="J15" s="128" t="n">
        <x:f>'00_Assumptions'!F10</x:f>
        <x:v>0.13</x:v>
      </x:c>
      <x:c r="K15" s="128" t="n">
        <x:f>'00_Assumptions'!G10</x:f>
        <x:v>0.1</x:v>
      </x:c>
      <x:c r="L15" s="128" t="n">
        <x:f>'00_Assumptions'!H10</x:f>
        <x:v>0.085</x:v>
      </x:c>
      <x:c r="M15" s="128" t="n">
        <x:f>'00_Assumptions'!I10</x:f>
        <x:v>0.07</x:v>
      </x:c>
      <x:c r="N15" s="128" t="n">
        <x:f>'00_Assumptions'!J10</x:f>
        <x:v>0.06</x:v>
      </x:c>
      <x:c r="O15" s="128" t="n">
        <x:f>'00_Assumptions'!K10</x:f>
        <x:v>0.055</x:v>
      </x:c>
      <x:c r="P15" s="12"/>
    </x:row>
    <x:row r="16">
      <x:c r="A16" s="12" t="str">
        <x:v>Operating Income</x:v>
      </x:c>
      <x:c r="B16" s="62" t="n">
        <x:f>'02_Historical_Financials'!D43</x:f>
        <x:v>28411</x:v>
      </x:c>
      <x:c r="C16" s="62" t="n">
        <x:f>'02_Historical_Financials'!E43</x:f>
        <x:v>37813</x:v>
      </x:c>
      <x:c r="D16" s="62" t="n">
        <x:f>'02_Historical_Financials'!F43</x:f>
        <x:v>44589</x:v>
      </x:c>
      <x:c r="E16" s="62" t="n">
        <x:f>'02_Historical_Financials'!G43</x:f>
        <x:v>56972</x:v>
      </x:c>
      <x:c r="F16" s="144" t="n">
        <x:f>F14*F17</x:f>
        <x:v>72546.9615</x:v>
      </x:c>
      <x:c r="G16" s="44" t="n">
        <x:f>G14*G17</x:f>
        <x:v>88847.63680000002</x:v>
      </x:c>
      <x:c r="H16" s="44" t="n">
        <x:f>H14*H17</x:f>
        <x:v>107416.79289120002</x:v>
      </x:c>
      <x:c r="I16" s="44" t="n">
        <x:f>I14*I17</x:f>
        <x:v>126149.428634112</x:v>
      </x:c>
      <x:c r="J16" s="44" t="n">
        <x:f>J14*J17</x:f>
        <x:v>144295.77659130815</x:v>
      </x:c>
      <x:c r="K16" s="44" t="n">
        <x:f>K14*K17</x:f>
        <x:v>160646.96870867675</x:v>
      </x:c>
      <x:c r="L16" s="44" t="n">
        <x:f>L14*L17</x:f>
        <x:v>176386.91273610224</x:v>
      </x:c>
      <x:c r="M16" s="44" t="n">
        <x:f>M14*M17</x:f>
        <x:v>190518.7152718623</x:v>
      </x:c>
      <x:c r="N16" s="44" t="n">
        <x:f>N14*N17</x:f>
        <x:v>203368.68951033923</x:v>
      </x:c>
      <x:c r="O16" s="44" t="n">
        <x:f>O14*O17</x:f>
        <x:v>215551.8928633307</x:v>
      </x:c>
      <x:c r="P16" s="12"/>
    </x:row>
    <x:row r="17">
      <x:c r="A17" s="12" t="str">
        <x:v>Operating Margin</x:v>
      </x:c>
      <x:c r="B17" s="128" t="n">
        <x:f>'02_Historical_Financials'!D52</x:f>
        <x:v>0.389490568107041</x:v>
      </x:c>
      <x:c r="C17" s="128" t="n">
        <x:f>'02_Historical_Financials'!E52</x:f>
        <x:v>0.43232644287935607</x:v>
      </x:c>
      <x:c r="D17" s="128" t="n">
        <x:f>'02_Historical_Financials'!F52</x:f>
        <x:v>0.4196019385498518</x:v>
      </x:c>
      <x:c r="E17" s="128" t="n">
        <x:f>'02_Historical_Financials'!G52</x:f>
        <x:v>0.41346677214041555</x:v>
      </x:c>
      <x:c r="F17" s="146" t="n">
        <x:f>'00_Assumptions'!B11</x:f>
        <x:v>0.405</x:v>
      </x:c>
      <x:c r="G17" s="128" t="n">
        <x:f>'00_Assumptions'!C11</x:f>
        <x:v>0.4</x:v>
      </x:c>
      <x:c r="H17" s="128" t="n">
        <x:f>'00_Assumptions'!D11</x:f>
        <x:v>0.403</x:v>
      </x:c>
      <x:c r="I17" s="128" t="n">
        <x:f>'00_Assumptions'!E11</x:f>
        <x:v>0.408</x:v>
      </x:c>
      <x:c r="J17" s="128" t="n">
        <x:f>'00_Assumptions'!F11</x:f>
        <x:v>0.413</x:v>
      </x:c>
      <x:c r="K17" s="128" t="n">
        <x:f>'00_Assumptions'!G11</x:f>
        <x:v>0.418</x:v>
      </x:c>
      <x:c r="L17" s="128" t="n">
        <x:f>'00_Assumptions'!H11</x:f>
        <x:v>0.423</x:v>
      </x:c>
      <x:c r="M17" s="128" t="n">
        <x:f>'00_Assumptions'!I11</x:f>
        <x:v>0.427</x:v>
      </x:c>
      <x:c r="N17" s="128" t="n">
        <x:f>'00_Assumptions'!J11</x:f>
        <x:v>0.43</x:v>
      </x:c>
      <x:c r="O17" s="128" t="n">
        <x:f>'00_Assumptions'!K11</x:f>
        <x:v>0.432</x:v>
      </x:c>
      <x:c r="P17" s="12"/>
    </x:row>
    <x:row r="18">
      <x:c r="A18" s="12"/>
      <x:c r="B18" s="12"/>
      <x:c r="C18" s="12"/>
      <x:c r="D18" s="12"/>
      <x:c r="E18" s="12"/>
      <x:c r="F18" s="115"/>
      <x:c r="G18" s="12"/>
      <x:c r="H18" s="12"/>
      <x:c r="I18" s="12"/>
      <x:c r="J18" s="12"/>
      <x:c r="K18" s="12"/>
      <x:c r="L18" s="12"/>
      <x:c r="M18" s="12"/>
      <x:c r="N18" s="12"/>
      <x:c r="O18" s="12"/>
      <x:c r="P18" s="12"/>
    </x:row>
    <x:row r="19">
      <x:c r="A19" s="12"/>
      <x:c r="B19" s="12"/>
      <x:c r="C19" s="12"/>
      <x:c r="D19" s="12"/>
      <x:c r="E19" s="12"/>
      <x:c r="F19" s="115"/>
      <x:c r="G19" s="12"/>
      <x:c r="H19" s="12"/>
      <x:c r="I19" s="12"/>
      <x:c r="J19" s="12"/>
      <x:c r="K19" s="12"/>
      <x:c r="L19" s="12"/>
      <x:c r="M19" s="12"/>
      <x:c r="N19" s="12"/>
      <x:c r="O19" s="12"/>
      <x:c r="P19" s="12"/>
    </x:row>
    <x:row r="20" ht="20" customHeight="1">
      <x:c r="A20" s="27" t="str">
        <x:v>More Personal Computing</x:v>
      </x:c>
      <x:c r="B20" s="27"/>
      <x:c r="C20" s="27"/>
      <x:c r="D20" s="27"/>
      <x:c r="E20" s="27"/>
      <x:c r="F20" s="139"/>
      <x:c r="G20" s="27"/>
      <x:c r="H20" s="27"/>
      <x:c r="I20" s="27"/>
      <x:c r="J20" s="27"/>
      <x:c r="K20" s="27"/>
      <x:c r="L20" s="27"/>
      <x:c r="M20" s="27"/>
      <x:c r="N20" s="27"/>
      <x:c r="O20" s="27"/>
      <x:c r="P20" s="12"/>
    </x:row>
    <x:row r="21">
      <x:c r="A21" s="12" t="str">
        <x:v>Revenue</x:v>
      </x:c>
      <x:c r="B21" s="62" t="n">
        <x:f>'02_Historical_Financials'!D38</x:f>
        <x:v>44820</x:v>
      </x:c>
      <x:c r="C21" s="62" t="n">
        <x:f>'02_Historical_Financials'!E38</x:f>
        <x:v>50838</x:v>
      </x:c>
      <x:c r="D21" s="62" t="n">
        <x:f>'02_Historical_Financials'!F38</x:f>
        <x:v>54649</x:v>
      </x:c>
      <x:c r="E21" s="62" t="n">
        <x:f>'02_Historical_Financials'!G38</x:f>
        <x:v>54052</x:v>
      </x:c>
      <x:c r="F21" s="144" t="n">
        <x:f>E21*(1+F22)</x:f>
        <x:v>49727.840000000004</x:v>
      </x:c>
      <x:c r="G21" s="44" t="n">
        <x:f>F21*(1+G22)</x:f>
        <x:v>49727.840000000004</x:v>
      </x:c>
      <x:c r="H21" s="44" t="n">
        <x:f>G21*(1+H22)</x:f>
        <x:v>50473.7576</x:v>
      </x:c>
      <x:c r="I21" s="44" t="n">
        <x:f>H21*(1+I22)</x:f>
        <x:v>51735.601539999996</x:v>
      </x:c>
      <x:c r="J21" s="44" t="n">
        <x:f>I21*(1+J22)</x:f>
        <x:v>53287.6695862</x:v>
      </x:c>
      <x:c r="K21" s="44" t="n">
        <x:f>J21*(1+K22)</x:f>
        <x:v>54886.299673786</x:v>
      </x:c>
      <x:c r="L21" s="44" t="n">
        <x:f>K21*(1+L22)</x:f>
        <x:v>56258.45716563064</x:v>
      </x:c>
      <x:c r="M21" s="44" t="n">
        <x:f>L21*(1+M22)</x:f>
        <x:v>57664.91859477141</x:v>
      </x:c>
      <x:c r="N21" s="44" t="n">
        <x:f>M21*(1+N22)</x:f>
        <x:v>58818.216966666834</x:v>
      </x:c>
      <x:c r="O21" s="44" t="n">
        <x:f>N21*(1+O22)</x:f>
        <x:v>59994.581306000175</x:v>
      </x:c>
      <x:c r="P21" s="12"/>
    </x:row>
    <x:row r="22">
      <x:c r="A22" s="12" t="str">
        <x:v>Revenue Growth</x:v>
      </x:c>
      <x:c r="B22" s="128"/>
      <x:c r="C22" s="128" t="n">
        <x:f>'02_Historical_Financials'!E49</x:f>
        <x:v>0.1342704149933065</x:v>
      </x:c>
      <x:c r="D22" s="128" t="n">
        <x:f>'02_Historical_Financials'!F49</x:f>
        <x:v>0.07496360989810769</x:v>
      </x:c>
      <x:c r="E22" s="128" t="n">
        <x:f>'02_Historical_Financials'!G49</x:f>
        <x:v>-0.01092426210909625</x:v>
      </x:c>
      <x:c r="F22" s="146" t="n">
        <x:f>'00_Assumptions'!B12</x:f>
        <x:v>-0.08</x:v>
      </x:c>
      <x:c r="G22" s="128" t="n">
        <x:f>'00_Assumptions'!C12</x:f>
        <x:v>0</x:v>
      </x:c>
      <x:c r="H22" s="128" t="n">
        <x:f>'00_Assumptions'!D12</x:f>
        <x:v>0.015</x:v>
      </x:c>
      <x:c r="I22" s="128" t="n">
        <x:f>'00_Assumptions'!E12</x:f>
        <x:v>0.025</x:v>
      </x:c>
      <x:c r="J22" s="128" t="n">
        <x:f>'00_Assumptions'!F12</x:f>
        <x:v>0.03</x:v>
      </x:c>
      <x:c r="K22" s="128" t="n">
        <x:f>'00_Assumptions'!G12</x:f>
        <x:v>0.03</x:v>
      </x:c>
      <x:c r="L22" s="128" t="n">
        <x:f>'00_Assumptions'!H12</x:f>
        <x:v>0.025</x:v>
      </x:c>
      <x:c r="M22" s="128" t="n">
        <x:f>'00_Assumptions'!I12</x:f>
        <x:v>0.025</x:v>
      </x:c>
      <x:c r="N22" s="128" t="n">
        <x:f>'00_Assumptions'!J12</x:f>
        <x:v>0.02</x:v>
      </x:c>
      <x:c r="O22" s="128" t="n">
        <x:f>'00_Assumptions'!K12</x:f>
        <x:v>0.02</x:v>
      </x:c>
      <x:c r="P22" s="12"/>
    </x:row>
    <x:row r="23">
      <x:c r="A23" s="12" t="str">
        <x:v>Operating Income</x:v>
      </x:c>
      <x:c r="B23" s="62" t="n">
        <x:f>'02_Historical_Financials'!D44</x:f>
        <x:v>10038</x:v>
      </x:c>
      <x:c r="C23" s="62" t="n">
        <x:f>'02_Historical_Financials'!E44</x:f>
        <x:v>11959</x:v>
      </x:c>
      <x:c r="D23" s="62" t="n">
        <x:f>'02_Historical_Financials'!F44</x:f>
        <x:v>14166</x:v>
      </x:c>
      <x:c r="E23" s="62" t="n">
        <x:f>'02_Historical_Financials'!G44</x:f>
        <x:v>14386</x:v>
      </x:c>
      <x:c r="F23" s="144" t="n">
        <x:f>F21*F24</x:f>
        <x:v>12431.960000000001</x:v>
      </x:c>
      <x:c r="G23" s="44" t="n">
        <x:f>G21*G24</x:f>
        <x:v>12680.5992</x:v>
      </x:c>
      <x:c r="H23" s="44" t="n">
        <x:f>H21*H24</x:f>
        <x:v>13123.176975999999</x:v>
      </x:c>
      <x:c r="I23" s="44" t="n">
        <x:f>I21*I24</x:f>
        <x:v>13554.72760348</x:v>
      </x:c>
      <x:c r="J23" s="44" t="n">
        <x:f>J21*J24</x:f>
        <x:v>14067.9447707568</x:v>
      </x:c>
      <x:c r="K23" s="44" t="n">
        <x:f>K21*K24</x:f>
        <x:v>14599.755713227078</x:v>
      </x:c>
      <x:c r="L23" s="44" t="n">
        <x:f>L21*L24</x:f>
        <x:v>15077.266520389014</x:v>
      </x:c>
      <x:c r="M23" s="44" t="n">
        <x:f>M21*M24</x:f>
        <x:v>15511.86310199351</x:v>
      </x:c>
      <x:c r="N23" s="44" t="n">
        <x:f>N21*N24</x:f>
        <x:v>15880.918581000045</x:v>
      </x:c>
      <x:c r="O23" s="44" t="n">
        <x:f>O21*O24</x:f>
        <x:v>16198.536952620048</x:v>
      </x:c>
      <x:c r="P23" s="12"/>
    </x:row>
    <x:row r="24">
      <x:c r="A24" s="12" t="str">
        <x:v>Operating Margin</x:v>
      </x:c>
      <x:c r="B24" s="128" t="n">
        <x:f>'02_Historical_Financials'!D53</x:f>
        <x:v>0.22396251673360107</x:v>
      </x:c>
      <x:c r="C24" s="128" t="n">
        <x:f>'02_Historical_Financials'!E53</x:f>
        <x:v>0.2352374208269405</x:v>
      </x:c>
      <x:c r="D24" s="128" t="n">
        <x:f>'02_Historical_Financials'!F53</x:f>
        <x:v>0.2592179179856905</x:v>
      </x:c>
      <x:c r="E24" s="128" t="n">
        <x:f>'02_Historical_Financials'!G53</x:f>
        <x:v>0.2661511137423222</x:v>
      </x:c>
      <x:c r="F24" s="146" t="n">
        <x:f>'00_Assumptions'!B13</x:f>
        <x:v>0.25</x:v>
      </x:c>
      <x:c r="G24" s="128" t="n">
        <x:f>'00_Assumptions'!C13</x:f>
        <x:v>0.255</x:v>
      </x:c>
      <x:c r="H24" s="128" t="n">
        <x:f>'00_Assumptions'!D13</x:f>
        <x:v>0.26</x:v>
      </x:c>
      <x:c r="I24" s="128" t="n">
        <x:f>'00_Assumptions'!E13</x:f>
        <x:v>0.262</x:v>
      </x:c>
      <x:c r="J24" s="128" t="n">
        <x:f>'00_Assumptions'!F13</x:f>
        <x:v>0.264</x:v>
      </x:c>
      <x:c r="K24" s="128" t="n">
        <x:f>'00_Assumptions'!G13</x:f>
        <x:v>0.266</x:v>
      </x:c>
      <x:c r="L24" s="128" t="n">
        <x:f>'00_Assumptions'!H13</x:f>
        <x:v>0.268</x:v>
      </x:c>
      <x:c r="M24" s="128" t="n">
        <x:f>'00_Assumptions'!I13</x:f>
        <x:v>0.269</x:v>
      </x:c>
      <x:c r="N24" s="128" t="n">
        <x:f>'00_Assumptions'!J13</x:f>
        <x:v>0.27</x:v>
      </x:c>
      <x:c r="O24" s="128" t="n">
        <x:f>'00_Assumptions'!K13</x:f>
        <x:v>0.27</x:v>
      </x:c>
      <x:c r="P24" s="12"/>
    </x:row>
    <x:row r="25">
      <x:c r="A25" s="12"/>
      <x:c r="B25" s="12"/>
      <x:c r="C25" s="12"/>
      <x:c r="D25" s="12"/>
      <x:c r="E25" s="12"/>
      <x:c r="F25" s="115"/>
      <x:c r="G25" s="12"/>
      <x:c r="H25" s="12"/>
      <x:c r="I25" s="12"/>
      <x:c r="J25" s="12"/>
      <x:c r="K25" s="12"/>
      <x:c r="L25" s="12"/>
      <x:c r="M25" s="12"/>
      <x:c r="N25" s="12"/>
      <x:c r="O25" s="12"/>
      <x:c r="P25" s="12"/>
    </x:row>
    <x:row r="26">
      <x:c r="A26" s="12"/>
      <x:c r="B26" s="12"/>
      <x:c r="C26" s="12"/>
      <x:c r="D26" s="12"/>
      <x:c r="E26" s="12"/>
      <x:c r="F26" s="115"/>
      <x:c r="G26" s="12"/>
      <x:c r="H26" s="12"/>
      <x:c r="I26" s="12"/>
      <x:c r="J26" s="12"/>
      <x:c r="K26" s="12"/>
      <x:c r="L26" s="12"/>
      <x:c r="M26" s="12"/>
      <x:c r="N26" s="12"/>
      <x:c r="O26" s="12"/>
      <x:c r="P26" s="12"/>
    </x:row>
    <x:row r="27" ht="20" customHeight="1">
      <x:c r="A27" s="27" t="str">
        <x:v>Consolidated Summary</x:v>
      </x:c>
      <x:c r="B27" s="27"/>
      <x:c r="C27" s="27"/>
      <x:c r="D27" s="27"/>
      <x:c r="E27" s="27"/>
      <x:c r="F27" s="139"/>
      <x:c r="G27" s="27"/>
      <x:c r="H27" s="27"/>
      <x:c r="I27" s="27"/>
      <x:c r="J27" s="27"/>
      <x:c r="K27" s="27"/>
      <x:c r="L27" s="27"/>
      <x:c r="M27" s="27"/>
      <x:c r="N27" s="27"/>
      <x:c r="O27" s="27"/>
      <x:c r="P27" s="12"/>
    </x:row>
    <x:row r="28">
      <x:c r="A28" s="12" t="str">
        <x:v>Total Segment Revenue</x:v>
      </x:c>
      <x:c r="B28" s="44" t="n">
        <x:f>B7+B14+B21</x:f>
        <x:v>211915</x:v>
      </x:c>
      <x:c r="C28" s="44" t="n">
        <x:f>C7+C14+C21</x:f>
        <x:v>245122</x:v>
      </x:c>
      <x:c r="D28" s="44" t="n">
        <x:f>D7+D14+D21</x:f>
        <x:v>281724</x:v>
      </x:c>
      <x:c r="E28" s="44" t="n">
        <x:f>E7+E14+E21</x:f>
        <x:v>331839</x:v>
      </x:c>
      <x:c r="F28" s="144" t="n">
        <x:f>F7+F14+F21</x:f>
        <x:v>385651.6600000001</x:v>
      </x:c>
      <x:c r="G28" s="44" t="n">
        <x:f>G7+G14+G21</x:f>
        <x:v>445105.9816000001</x:v>
      </x:c>
      <x:c r="H28" s="44" t="n">
        <x:f>H7+H14+H21</x:f>
        <x:v>505869.03206400014</x:v>
      </x:c>
      <x:c r="I28" s="44" t="n">
        <x:f>I7+I14+I21</x:f>
        <x:v>564885.9307931201</x:v>
      </x:c>
      <x:c r="J28" s="44" t="n">
        <x:f>J7+J14+J21</x:f>
        <x:v>620909.9084508785</x:v>
      </x:c>
      <x:c r="K28" s="44" t="n">
        <x:f>K7+K14+K21</x:f>
        <x:v>670541.2507484381</x:v>
      </x:c>
      <x:c r="L28" s="44" t="n">
        <x:f>L7+L14+L21</x:f>
        <x:v>717304.117298815</x:v>
      </x:c>
      <x:c r="M28" s="44" t="n">
        <x:f>M7+M14+M21</x:f>
        <x:v>760102.668483367</x:v>
      </x:c>
      <x:c r="N28" s="44" t="n">
        <x:f>N7+N14+N21</x:f>
        <x:v>799558.3605161227</x:v>
      </x:c>
      <x:c r="O28" s="44" t="n">
        <x:f>O7+O14+O21</x:f>
        <x:v>837458.58720826</x:v>
      </x:c>
      <x:c r="P28" s="12"/>
    </x:row>
    <x:row r="29">
      <x:c r="A29" s="12" t="str">
        <x:v>Reported Microsoft Revenue</x:v>
      </x:c>
      <x:c r="B29" s="62" t="n">
        <x:f>'02_Historical_Financials'!D39</x:f>
        <x:v>211915</x:v>
      </x:c>
      <x:c r="C29" s="62" t="n">
        <x:f>'02_Historical_Financials'!E39</x:f>
        <x:v>245122</x:v>
      </x:c>
      <x:c r="D29" s="62" t="n">
        <x:f>'02_Historical_Financials'!F39</x:f>
        <x:v>281724</x:v>
      </x:c>
      <x:c r="E29" s="62" t="n">
        <x:f>'02_Historical_Financials'!G39</x:f>
        <x:v>331839</x:v>
      </x:c>
      <x:c r="F29" s="144"/>
      <x:c r="G29" s="44"/>
      <x:c r="H29" s="44"/>
      <x:c r="I29" s="44"/>
      <x:c r="J29" s="44"/>
      <x:c r="K29" s="44"/>
      <x:c r="L29" s="44"/>
      <x:c r="M29" s="44"/>
      <x:c r="N29" s="44"/>
      <x:c r="O29" s="44"/>
      <x:c r="P29" s="12"/>
    </x:row>
    <x:row r="30">
      <x:c r="A30" s="12" t="str">
        <x:v>Revenue Check</x:v>
      </x:c>
      <x:c r="B30" s="44" t="n">
        <x:f>B28-B29</x:f>
        <x:v>0</x:v>
      </x:c>
      <x:c r="C30" s="44" t="n">
        <x:f>C28-C29</x:f>
        <x:v>0</x:v>
      </x:c>
      <x:c r="D30" s="44" t="n">
        <x:f>D28-D29</x:f>
        <x:v>0</x:v>
      </x:c>
      <x:c r="E30" s="44" t="n">
        <x:f>E28-E29</x:f>
        <x:v>0</x:v>
      </x:c>
      <x:c r="F30" s="144"/>
      <x:c r="G30" s="44"/>
      <x:c r="H30" s="44"/>
      <x:c r="I30" s="44"/>
      <x:c r="J30" s="44"/>
      <x:c r="K30" s="44"/>
      <x:c r="L30" s="44"/>
      <x:c r="M30" s="44"/>
      <x:c r="N30" s="44"/>
      <x:c r="O30" s="44"/>
      <x:c r="P30" s="12"/>
    </x:row>
    <x:row r="31">
      <x:c r="A31" s="12" t="str">
        <x:v>Total Segment Operating Income</x:v>
      </x:c>
      <x:c r="B31" s="44" t="n">
        <x:f>B9+B16+B23</x:f>
        <x:v>88523</x:v>
      </x:c>
      <x:c r="C31" s="44" t="n">
        <x:f>C9+C16+C23</x:f>
        <x:v>109433</x:v>
      </x:c>
      <x:c r="D31" s="44" t="n">
        <x:f>D9+D16+D23</x:f>
        <x:v>128528</x:v>
      </x:c>
      <x:c r="E31" s="44" t="n">
        <x:f>E9+E16+E23</x:f>
        <x:v>155237</x:v>
      </x:c>
      <x:c r="F31" s="144" t="n">
        <x:f>F9+F16+F23</x:f>
        <x:v>177488.2783</x:v>
      </x:c>
      <x:c r="G31" s="44" t="n">
        <x:f>G9+G16+G23</x:f>
        <x:v>204617.37051200005</x:v>
      </x:c>
      <x:c r="H31" s="44" t="n">
        <x:f>H9+H16+H23</x:f>
        <x:v>233473.68357747202</x:v>
      </x:c>
      <x:c r="I31" s="44" t="n">
        <x:f>I9+I16+I23</x:f>
        <x:v>262080.48815106403</x:v>
      </x:c>
      <x:c r="J31" s="44" t="n">
        <x:f>J9+J16+J23</x:f>
        <x:v>288869.92092565534</x:v>
      </x:c>
      <x:c r="K31" s="44" t="n">
        <x:f>K9+K16+K23</x:f>
        <x:v>312889.2997810283</x:v>
      </x:c>
      <x:c r="L31" s="44" t="n">
        <x:f>L9+L16+L23</x:f>
        <x:v>335944.93029228086</x:v>
      </x:c>
      <x:c r="M31" s="44" t="n">
        <x:f>M9+M16+M23</x:f>
        <x:v>357222.8507837741</x:v>
      </x:c>
      <x:c r="N31" s="44" t="n">
        <x:f>N9+N16+N23</x:f>
        <x:v>376709.9533540484</x:v>
      </x:c>
      <x:c r="O31" s="44" t="n">
        <x:f>O9+O16+O23</x:f>
        <x:v>394673.6850163457</x:v>
      </x:c>
      <x:c r="P31" s="12"/>
    </x:row>
    <x:row r="32">
      <x:c r="A32" s="12" t="str">
        <x:v>Reported Microsoft Operating Income</x:v>
      </x:c>
      <x:c r="B32" s="62" t="n">
        <x:f>'02_Historical_Financials'!D45</x:f>
        <x:v>88523</x:v>
      </x:c>
      <x:c r="C32" s="62" t="n">
        <x:f>'02_Historical_Financials'!E45</x:f>
        <x:v>109433</x:v>
      </x:c>
      <x:c r="D32" s="62" t="n">
        <x:f>'02_Historical_Financials'!F45</x:f>
        <x:v>128528</x:v>
      </x:c>
      <x:c r="E32" s="62" t="n">
        <x:f>'02_Historical_Financials'!G45</x:f>
        <x:v>155237</x:v>
      </x:c>
      <x:c r="F32" s="144"/>
      <x:c r="G32" s="44"/>
      <x:c r="H32" s="44"/>
      <x:c r="I32" s="44"/>
      <x:c r="J32" s="44"/>
      <x:c r="K32" s="44"/>
      <x:c r="L32" s="44"/>
      <x:c r="M32" s="44"/>
      <x:c r="N32" s="44"/>
      <x:c r="O32" s="44"/>
      <x:c r="P32" s="12"/>
    </x:row>
    <x:row r="33">
      <x:c r="A33" s="12" t="str">
        <x:v>Operating Income Check</x:v>
      </x:c>
      <x:c r="B33" s="44" t="n">
        <x:f>B31-B32</x:f>
        <x:v>0</x:v>
      </x:c>
      <x:c r="C33" s="44" t="n">
        <x:f>C31-C32</x:f>
        <x:v>0</x:v>
      </x:c>
      <x:c r="D33" s="44" t="n">
        <x:f>D31-D32</x:f>
        <x:v>0</x:v>
      </x:c>
      <x:c r="E33" s="44" t="n">
        <x:f>E31-E32</x:f>
        <x:v>0</x:v>
      </x:c>
      <x:c r="F33" s="144"/>
      <x:c r="G33" s="44"/>
      <x:c r="H33" s="44"/>
      <x:c r="I33" s="44"/>
      <x:c r="J33" s="44"/>
      <x:c r="K33" s="44"/>
      <x:c r="L33" s="44"/>
      <x:c r="M33" s="44"/>
      <x:c r="N33" s="44"/>
      <x:c r="O33" s="44"/>
      <x:c r="P33" s="12"/>
    </x:row>
    <x:row r="34">
      <x:c r="A34" s="12"/>
      <x:c r="B34" s="12"/>
      <x:c r="C34" s="12"/>
      <x:c r="D34" s="12"/>
      <x:c r="E34" s="12"/>
      <x:c r="F34" s="115"/>
      <x:c r="G34" s="12"/>
      <x:c r="H34" s="12"/>
      <x:c r="I34" s="12"/>
      <x:c r="J34" s="12"/>
      <x:c r="K34" s="12"/>
      <x:c r="L34" s="12"/>
      <x:c r="M34" s="12"/>
      <x:c r="N34" s="12"/>
      <x:c r="O34" s="12"/>
      <x:c r="P34" s="12"/>
    </x:row>
    <x:row r="35" ht="20" customHeight="1">
      <x:c r="A35" s="27" t="str">
        <x:v>Forecast Diagnostics</x:v>
      </x:c>
      <x:c r="B35" s="27"/>
      <x:c r="C35" s="27"/>
      <x:c r="D35" s="27"/>
      <x:c r="E35" s="27"/>
      <x:c r="F35" s="139"/>
      <x:c r="G35" s="27"/>
      <x:c r="H35" s="27"/>
      <x:c r="I35" s="27"/>
      <x:c r="J35" s="27"/>
      <x:c r="K35" s="27"/>
      <x:c r="L35" s="27"/>
      <x:c r="M35" s="27"/>
      <x:c r="N35" s="27"/>
      <x:c r="O35" s="27"/>
      <x:c r="P35" s="12"/>
    </x:row>
    <x:row r="36">
      <x:c r="A36" s="12" t="str">
        <x:v>Total Revenue Growth</x:v>
      </x:c>
      <x:c r="B36" s="38"/>
      <x:c r="C36" s="38"/>
      <x:c r="D36" s="38"/>
      <x:c r="E36" s="38"/>
      <x:c r="F36" s="116" t="n">
        <x:f>F28/E28-1</x:f>
        <x:v>0.1621649655405184</x:v>
      </x:c>
      <x:c r="G36" s="38" t="n">
        <x:f>G28/F28-1</x:f>
        <x:v>0.15416586460434267</x:v>
      </x:c>
      <x:c r="H36" s="38" t="n">
        <x:f>H28/G28-1</x:f>
        <x:v>0.13651366859995484</x:v>
      </x:c>
      <x:c r="I36" s="38" t="n">
        <x:f>I28/H28-1</x:f>
        <x:v>0.11666438344392138</x:v>
      </x:c>
      <x:c r="J36" s="38" t="n">
        <x:f>J28/I28-1</x:f>
        <x:v>0.09917750576492268</x:v>
      </x:c>
      <x:c r="K36" s="38" t="n">
        <x:f>K28/J28-1</x:f>
        <x:v>0.0799332425236794</x:v>
      </x:c>
      <x:c r="L36" s="38" t="n">
        <x:f>L28/K28-1</x:f>
        <x:v>0.06973898548102997</x:v>
      </x:c>
      <x:c r="M36" s="38" t="n">
        <x:f>M28/L28-1</x:f>
        <x:v>0.05966583789553637</x:v>
      </x:c>
      <x:c r="N36" s="38" t="n">
        <x:f>N28/M28-1</x:f>
        <x:v>0.05190837194596565</x:v>
      </x:c>
      <x:c r="O36" s="38" t="n">
        <x:f>O28/N28-1</x:f>
        <x:v>0.04740145130578388</x:v>
      </x:c>
      <x:c r="P36" s="12"/>
    </x:row>
    <x:row r="37">
      <x:c r="A37" s="12" t="str">
        <x:v>Total Operating Income Growth</x:v>
      </x:c>
      <x:c r="B37" s="38"/>
      <x:c r="C37" s="38"/>
      <x:c r="D37" s="38"/>
      <x:c r="E37" s="38"/>
      <x:c r="F37" s="116" t="n">
        <x:f>F31/E31-1</x:f>
        <x:v>0.14333746658335333</x:v>
      </x:c>
      <x:c r="G37" s="38" t="n">
        <x:f>G31/F31-1</x:f>
        <x:v>0.15285004999679486</x:v>
      </x:c>
      <x:c r="H37" s="38" t="n">
        <x:f>H31/G31-1</x:f>
        <x:v>0.14102572520244383</x:v>
      </x:c>
      <x:c r="I37" s="38" t="n">
        <x:f>I31/H31-1</x:f>
        <x:v>0.12252689097655667</x:v>
      </x:c>
      <x:c r="J37" s="38" t="n">
        <x:f>J31/I31-1</x:f>
        <x:v>0.10221834125686535</x:v>
      </x:c>
      <x:c r="K37" s="38" t="n">
        <x:f>K31/J31-1</x:f>
        <x:v>0.0831494631853853</x:v>
      </x:c>
      <x:c r="L37" s="38" t="n">
        <x:f>L31/K31-1</x:f>
        <x:v>0.07368622233929933</x:v>
      </x:c>
      <x:c r="M37" s="38" t="n">
        <x:f>M31/L31-1</x:f>
        <x:v>0.06333752520980429</x:v>
      </x:c>
      <x:c r="N37" s="38" t="n">
        <x:f>N31/M31-1</x:f>
        <x:v>0.054551668594319036</x:v>
      </x:c>
      <x:c r="O37" s="38" t="n">
        <x:f>O31/N31-1</x:f>
        <x:v>0.04768584292067857</x:v>
      </x:c>
      <x:c r="P37" s="12"/>
    </x:row>
    <x:row r="38">
      <x:c r="A38" s="12" t="str">
        <x:v>Consolidated Operating Margin</x:v>
      </x:c>
      <x:c r="B38" s="38"/>
      <x:c r="C38" s="38"/>
      <x:c r="D38" s="38"/>
      <x:c r="E38" s="38"/>
      <x:c r="F38" s="117" t="n">
        <x:f>F31/F28</x:f>
        <x:v>0.4602295198210737</x:v>
      </x:c>
      <x:c r="G38" s="38" t="n">
        <x:f>G31/G28</x:f>
        <x:v>0.4597048320412866</x:v>
      </x:c>
      <x:c r="H38" s="38" t="n">
        <x:f>H31/H28</x:f>
        <x:v>0.4615298995964909</x:v>
      </x:c>
      <x:c r="I38" s="38" t="n">
        <x:f>I31/I28</x:f>
        <x:v>0.46395293963702305</x:v>
      </x:c>
      <x:c r="J38" s="38" t="n">
        <x:f>J31/J28</x:f>
        <x:v>0.46523644895015953</x:v>
      </x:c>
      <x:c r="K38" s="38" t="n">
        <x:f>K31/K28</x:f>
        <x:v>0.46662200040905855</x:v>
      </x:c>
      <x:c r="L38" s="38" t="n">
        <x:f>L31/L28</x:f>
        <x:v>0.46834379197119913</x:v>
      </x:c>
      <x:c r="M38" s="38" t="n">
        <x:f>M31/M28</x:f>
        <x:v>0.46996657898404826</x:v>
      </x:c>
      <x:c r="N38" s="38" t="n">
        <x:f>N31/N28</x:f>
        <x:v>0.4711475383871648</x:v>
      </x:c>
      <x:c r="O38" s="38" t="n">
        <x:f>O31/O28</x:f>
        <x:v>0.4712754648943589</x:v>
      </x:c>
      <x:c r="P38" s="12"/>
    </x:row>
    <x:row r="39">
      <x:c r="A39" s="12"/>
      <x:c r="B39" s="12"/>
      <x:c r="C39" s="12"/>
      <x:c r="D39" s="12"/>
      <x:c r="E39" s="12"/>
      <x:c r="F39" s="12"/>
      <x:c r="G39" s="12"/>
      <x:c r="H39" s="12"/>
      <x:c r="I39" s="12"/>
      <x:c r="J39" s="12"/>
      <x:c r="K39" s="12"/>
      <x:c r="L39" s="12"/>
      <x:c r="M39" s="12"/>
      <x:c r="N39" s="12"/>
      <x:c r="O39" s="12"/>
      <x:c r="P39" s="12"/>
    </x:row>
    <x:row r="40">
      <x:c r="A40" s="12"/>
      <x:c r="B40" s="12"/>
      <x:c r="C40" s="12"/>
      <x:c r="D40" s="12"/>
      <x:c r="E40" s="12"/>
      <x:c r="F40" s="12"/>
      <x:c r="G40" s="12"/>
      <x:c r="H40" s="12"/>
      <x:c r="I40" s="12"/>
      <x:c r="J40" s="12"/>
      <x:c r="K40" s="12"/>
      <x:c r="L40" s="12"/>
      <x:c r="M40" s="12"/>
      <x:c r="N40" s="12"/>
      <x:c r="O40" s="12"/>
      <x:c r="P40" s="12"/>
    </x:row>
    <x:row r="41" ht="20" customHeight="1">
      <x:c r="A41" s="27" t="str">
        <x:v>Forecast Assumption Rationale</x:v>
      </x:c>
      <x:c r="B41" s="27"/>
      <x:c r="C41" s="27"/>
      <x:c r="D41" s="27"/>
      <x:c r="E41" s="27"/>
      <x:c r="F41" s="27"/>
      <x:c r="G41" s="27"/>
      <x:c r="H41" s="27"/>
      <x:c r="I41" s="27"/>
      <x:c r="J41" s="27"/>
      <x:c r="K41" s="27"/>
      <x:c r="L41" s="27"/>
      <x:c r="M41" s="27"/>
      <x:c r="N41" s="27"/>
      <x:c r="O41" s="27"/>
      <x:c r="P41" s="12"/>
    </x:row>
    <x:row r="42">
      <x:c r="A42" s="33" t="str">
        <x:v>Assumption</x:v>
      </x:c>
      <x:c r="B42" s="33" t="str">
        <x:v>Forecast Path</x:v>
      </x:c>
      <x:c r="C42" s="33"/>
      <x:c r="D42" s="33" t="str">
        <x:v>Primary Business Drivers</x:v>
      </x:c>
      <x:c r="E42" s="33"/>
      <x:c r="F42" s="33"/>
      <x:c r="G42" s="33"/>
      <x:c r="H42" s="33"/>
      <x:c r="I42" s="33" t="str">
        <x:v>Base-Case Rationale &amp; Key Risks</x:v>
      </x:c>
      <x:c r="J42" s="33"/>
      <x:c r="K42" s="33"/>
      <x:c r="L42" s="33"/>
      <x:c r="M42" s="33"/>
      <x:c r="N42" s="33"/>
      <x:c r="O42" s="33"/>
      <x:c r="P42" s="12"/>
    </x:row>
    <x:row r="43" ht="48" customHeight="1">
      <x:c r="A43" s="132" t="str">
        <x:v>PBP Revenue Growth</x:v>
      </x:c>
      <x:c r="B43" s="132" t="str">
        <x:v>12.0% FY2027E → 4.0% FY2036E</x:v>
      </x:c>
      <x:c r="C43" s="132"/>
      <x:c r="D43" s="132" t="str">
        <x:v>Microsoft 365 commercial seats and ARPU; Copilot adoption; LinkedIn; Dynamics 365</x:v>
      </x:c>
      <x:c r="E43" s="132"/>
      <x:c r="F43" s="132"/>
      <x:c r="G43" s="132"/>
      <x:c r="H43" s="132"/>
      <x:c r="I43" s="132" t="str">
        <x:v>Near-term growth assumes continued Microsoft 365 and Copilot monetization, followed by gradual normalization as the segment matures. Key risks include slower Copilot adoption, seat saturation, pricing resistance, and weaker LinkedIn demand.</x:v>
      </x:c>
      <x:c r="J43" s="132"/>
      <x:c r="K43" s="132"/>
      <x:c r="L43" s="132"/>
      <x:c r="M43" s="132"/>
      <x:c r="N43" s="132"/>
      <x:c r="O43" s="132"/>
      <x:c r="P43" s="12"/>
    </x:row>
    <x:row r="44" ht="48" customHeight="1">
      <x:c r="A44" s="132" t="str">
        <x:v>PBP Operating Margin</x:v>
      </x:c>
      <x:c r="B44" s="132" t="str">
        <x:v>59.0% FY2027E → 58.5% FY2036E; 60.0% peak</x:v>
      </x:c>
      <x:c r="C44" s="132"/>
      <x:c r="D44" s="132" t="str">
        <x:v>Recurring subscription mix; pricing; operating leverage; AI inference costs; R&amp;D and sales investment</x:v>
      </x:c>
      <x:c r="E44" s="132"/>
      <x:c r="F44" s="132"/>
      <x:c r="G44" s="132"/>
      <x:c r="H44" s="132"/>
      <x:c r="I44" s="132" t="str">
        <x:v>Margins remain near 59%–60% as subscription scale and favorable mix are partly offset by AI inference costs and continued product investment. Key risks include higher inference costs and sustained R&amp;D and go-to-market spending.</x:v>
      </x:c>
      <x:c r="J44" s="132"/>
      <x:c r="K44" s="132"/>
      <x:c r="L44" s="132"/>
      <x:c r="M44" s="132"/>
      <x:c r="N44" s="132"/>
      <x:c r="O44" s="132"/>
      <x:c r="P44" s="12"/>
    </x:row>
    <x:row r="45" ht="48" customHeight="1">
      <x:c r="A45" s="132" t="str">
        <x:v>Intelligent Cloud Revenue Growth</x:v>
      </x:c>
      <x:c r="B45" s="132" t="str">
        <x:v>30.0% FY2027E → 5.5% FY2036E</x:v>
      </x:c>
      <x:c r="C45" s="132"/>
      <x:c r="D45" s="132" t="str">
        <x:v>Azure consumption; AI services; cloud migrations; capacity availability; enterprise demand</x:v>
      </x:c>
      <x:c r="E45" s="132"/>
      <x:c r="F45" s="132"/>
      <x:c r="G45" s="132"/>
      <x:c r="H45" s="132"/>
      <x:c r="I45" s="132" t="str">
        <x:v>Strong near-term Azure and AI demand supports elevated growth, followed by a gradual fade as the revenue base becomes larger. Key risks include capacity constraints, customer optimization, competitive pricing, and slower AI monetization.</x:v>
      </x:c>
      <x:c r="J45" s="132"/>
      <x:c r="K45" s="132"/>
      <x:c r="L45" s="132"/>
      <x:c r="M45" s="132"/>
      <x:c r="N45" s="132"/>
      <x:c r="O45" s="132"/>
      <x:c r="P45" s="12"/>
    </x:row>
    <x:row r="46" ht="48" customHeight="1">
      <x:c r="A46" s="132" t="str">
        <x:v>Intelligent Cloud Operating Margin</x:v>
      </x:c>
      <x:c r="B46" s="132" t="str">
        <x:v>40.5% FY2027E → 43.2% FY2036E; 40.0% trough</x:v>
      </x:c>
      <x:c r="C46" s="132"/>
      <x:c r="D46" s="132" t="str">
        <x:v>Datacenter utilization; depreciation; energy and network costs; AI workload mix; infrastructure efficiency</x:v>
      </x:c>
      <x:c r="E46" s="132"/>
      <x:c r="F46" s="132"/>
      <x:c r="G46" s="132"/>
      <x:c r="H46" s="132"/>
      <x:c r="I46" s="132" t="str">
        <x:v>Near-term margins are pressured by AI infrastructure investment and depreciation, followed by recovery as capacity utilization and efficiency improve. Key risks include underutilized capacity, energy costs, and structurally lower-margin AI workloads.</x:v>
      </x:c>
      <x:c r="J46" s="132"/>
      <x:c r="K46" s="132"/>
      <x:c r="L46" s="132"/>
      <x:c r="M46" s="132"/>
      <x:c r="N46" s="132"/>
      <x:c r="O46" s="132"/>
      <x:c r="P46" s="12"/>
    </x:row>
    <x:row r="47" ht="48" customHeight="1">
      <x:c r="A47" s="132" t="str">
        <x:v>MPC Revenue Growth</x:v>
      </x:c>
      <x:c r="B47" s="132" t="str">
        <x:v>(8.0%) FY2027E → 2.0% FY2036E</x:v>
      </x:c>
      <x:c r="C47" s="132"/>
      <x:c r="D47" s="132" t="str">
        <x:v>Windows OEM; search advertising; gaming and content; devices; PC and console cycles</x:v>
      </x:c>
      <x:c r="E47" s="132"/>
      <x:c r="F47" s="132"/>
      <x:c r="G47" s="132"/>
      <x:c r="H47" s="132"/>
      <x:c r="I47" s="132" t="str">
        <x:v>The near-term decline reflects PC and gaming cyclicality, followed by low-single-digit growth consistent with a mature segment. Key risks include weaker PC demand, gaming volatility, search competition, and continued hardware declines.</x:v>
      </x:c>
      <x:c r="J47" s="132"/>
      <x:c r="K47" s="132"/>
      <x:c r="L47" s="132"/>
      <x:c r="M47" s="132"/>
      <x:c r="N47" s="132"/>
      <x:c r="O47" s="132"/>
      <x:c r="P47" s="12"/>
    </x:row>
    <x:row r="48" ht="48" customHeight="1">
      <x:c r="A48" s="132" t="str">
        <x:v>MPC Operating Margin</x:v>
      </x:c>
      <x:c r="B48" s="132" t="str">
        <x:v>25.0% FY2027E → 27.0% FY2036E</x:v>
      </x:c>
      <x:c r="C48" s="132"/>
      <x:c r="D48" s="132" t="str">
        <x:v>Search and gaming services mix; cost discipline; device exposure; content economics</x:v>
      </x:c>
      <x:c r="E48" s="132"/>
      <x:c r="F48" s="132"/>
      <x:c r="G48" s="132"/>
      <x:c r="H48" s="132"/>
      <x:c r="I48" s="132" t="str">
        <x:v>Gradual margin expansion assumes a mix shift toward higher-margin search and gaming services together with operating discipline. Key risks include content costs, hardware mix, acquisition integration, and weaker advertising monetization.</x:v>
      </x:c>
      <x:c r="J48" s="132"/>
      <x:c r="K48" s="132"/>
      <x:c r="L48" s="132"/>
      <x:c r="M48" s="132"/>
      <x:c r="N48" s="132"/>
      <x:c r="O48" s="132"/>
      <x:c r="P48" s="12"/>
    </x:row>
    <x:row r="49">
      <x:c r="A49" s="12"/>
      <x:c r="B49" s="12"/>
      <x:c r="C49" s="12"/>
      <x:c r="D49" s="12"/>
      <x:c r="E49" s="12"/>
      <x:c r="F49" s="12"/>
      <x:c r="G49" s="12"/>
      <x:c r="H49" s="12"/>
      <x:c r="I49" s="12"/>
      <x:c r="J49" s="12"/>
      <x:c r="K49" s="12"/>
      <x:c r="L49" s="12"/>
      <x:c r="M49" s="12"/>
      <x:c r="N49" s="12"/>
      <x:c r="O49" s="12"/>
      <x:c r="P49" s="12"/>
    </x:row>
    <x:row r="50">
      <x:c r="A50" s="98" t="str">
        <x:v>Note: Forecast percentages are analyst assumptions linked from 00_Assumptions. Historical segment results are linked from 02_Historical_Financials. Detailed sources and methodology are documented in 01_Model_Guide_Sources.</x:v>
      </x:c>
      <x:c r="B50" s="98"/>
      <x:c r="C50" s="98"/>
      <x:c r="D50" s="98"/>
      <x:c r="E50" s="98"/>
      <x:c r="F50" s="98"/>
      <x:c r="G50" s="98"/>
      <x:c r="H50" s="98"/>
      <x:c r="I50" s="98"/>
      <x:c r="J50" s="98"/>
      <x:c r="K50" s="98"/>
      <x:c r="L50" s="98"/>
      <x:c r="M50" s="98"/>
      <x:c r="N50" s="98"/>
      <x:c r="O50" s="98"/>
      <x:c r="P50" s="12"/>
    </x:row>
  </x:sheetData>
  <x:mergeCells>
    <x:mergeCell ref="A41:O41"/>
    <x:mergeCell ref="B42:C42"/>
    <x:mergeCell ref="D42:H42"/>
    <x:mergeCell ref="I42:O42"/>
    <x:mergeCell ref="B43:C43"/>
    <x:mergeCell ref="D43:H43"/>
    <x:mergeCell ref="I43:O43"/>
    <x:mergeCell ref="B44:C44"/>
    <x:mergeCell ref="D44:H44"/>
    <x:mergeCell ref="I44:O44"/>
    <x:mergeCell ref="B45:C45"/>
    <x:mergeCell ref="D45:H45"/>
    <x:mergeCell ref="I45:O45"/>
    <x:mergeCell ref="B48:C48"/>
    <x:mergeCell ref="D48:H48"/>
    <x:mergeCell ref="I48:O48"/>
    <x:mergeCell ref="A50:O50"/>
    <x:mergeCell ref="B46:C46"/>
    <x:mergeCell ref="D46:H46"/>
    <x:mergeCell ref="I46:O46"/>
    <x:mergeCell ref="B47:C47"/>
    <x:mergeCell ref="D47:H47"/>
    <x:mergeCell ref="I47:O47"/>
    <x:mergeCell ref="A1:O1"/>
    <x:mergeCell ref="A2:O2"/>
    <x:mergeCell ref="A6:O6"/>
    <x:mergeCell ref="A13:O13"/>
    <x:mergeCell ref="A20:O20"/>
    <x:mergeCell ref="A27:O27"/>
    <x:mergeCell ref="A35:O35"/>
  </x:mergeCells>
  <x:pageMargins left="0.7" right="0.7" top="0.75" bottom="0.75" header="0.3" footer="0.3"/>
</x:worksheet>
</file>

<file path=xl/worksheets/sheet7.xml><?xml version="1.0" encoding="utf-8"?>
<x:worksheet xmlns:x="http://schemas.openxmlformats.org/spreadsheetml/2006/main">
  <x:sheetFormatPr defaultRowHeight="15"/>
  <x:cols>
    <x:col min="1" max="1" width="4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3" hidden="0" customWidth="1"/>
  </x:cols>
  <x:sheetData>
    <x:row r="1" ht="28" customHeight="1">
      <x:c r="A1" s="16" t="str">
        <x:v>Microsoft Consolidated Forecast</x:v>
      </x:c>
      <x:c r="B1" s="16"/>
      <x:c r="C1" s="16"/>
      <x:c r="D1" s="16"/>
      <x:c r="E1" s="16"/>
      <x:c r="F1" s="16"/>
      <x:c r="G1" s="16"/>
      <x:c r="H1" s="16"/>
      <x:c r="I1" s="16"/>
      <x:c r="J1" s="16"/>
      <x:c r="K1" s="16"/>
      <x:c r="L1" s="16"/>
      <x:c r="M1" s="16"/>
      <x:c r="N1" s="16"/>
      <x:c r="O1" s="16"/>
      <x:c r="P1" s="12"/>
    </x:row>
    <x:row r="2" ht="20" customHeight="1">
      <x:c r="A2" s="22" t="str">
        <x:v>USD in millions, except percentages</x:v>
      </x:c>
      <x:c r="B2" s="22"/>
      <x:c r="C2" s="22"/>
      <x:c r="D2" s="22"/>
      <x:c r="E2" s="22"/>
      <x:c r="F2" s="22"/>
      <x:c r="G2" s="22"/>
      <x:c r="H2" s="22"/>
      <x:c r="I2" s="22"/>
      <x:c r="J2" s="22"/>
      <x:c r="K2" s="22"/>
      <x:c r="L2" s="22"/>
      <x:c r="M2" s="22"/>
      <x:c r="N2" s="22"/>
      <x:c r="O2" s="22"/>
      <x:c r="P2" s="12"/>
    </x:row>
    <x:row r="3">
      <x:c r="A3" s="12"/>
      <x:c r="B3" s="12"/>
      <x:c r="C3" s="12"/>
      <x:c r="D3" s="12"/>
      <x:c r="E3" s="12"/>
      <x:c r="F3" s="12"/>
      <x:c r="G3" s="12"/>
      <x:c r="H3" s="12"/>
      <x:c r="I3" s="12"/>
      <x:c r="J3" s="12"/>
      <x:c r="K3" s="12"/>
      <x:c r="L3" s="12"/>
      <x:c r="M3" s="12"/>
      <x:c r="N3" s="12"/>
      <x:c r="O3" s="12"/>
      <x:c r="P3" s="12"/>
    </x:row>
    <x:row r="4">
      <x:c r="A4" s="33" t="str">
        <x:v>Metric</x:v>
      </x:c>
      <x:c r="B4" s="134" t="str">
        <x:v>FY2023A</x:v>
      </x:c>
      <x:c r="C4" s="134" t="str">
        <x:v>FY2024A</x:v>
      </x:c>
      <x:c r="D4" s="134" t="str">
        <x:v>FY2025A</x:v>
      </x:c>
      <x:c r="E4" s="134" t="str">
        <x:v>FY2026A</x:v>
      </x:c>
      <x:c r="F4" s="138" t="str">
        <x:v>FY2027E</x:v>
      </x:c>
      <x:c r="G4" s="136" t="str">
        <x:v>FY2028E</x:v>
      </x:c>
      <x:c r="H4" s="136" t="str">
        <x:v>FY2029E</x:v>
      </x:c>
      <x:c r="I4" s="136" t="str">
        <x:v>FY2030E</x:v>
      </x:c>
      <x:c r="J4" s="136" t="str">
        <x:v>FY2031E</x:v>
      </x:c>
      <x:c r="K4" s="136" t="str">
        <x:v>FY2032E</x:v>
      </x:c>
      <x:c r="L4" s="136" t="str">
        <x:v>FY2033E</x:v>
      </x:c>
      <x:c r="M4" s="136" t="str">
        <x:v>FY2034E</x:v>
      </x:c>
      <x:c r="N4" s="136" t="str">
        <x:v>FY2035E</x:v>
      </x:c>
      <x:c r="O4" s="136" t="str">
        <x:v>FY2036E</x:v>
      </x:c>
      <x:c r="P4" s="12"/>
    </x:row>
    <x:row r="5">
      <x:c r="A5" s="12"/>
      <x:c r="B5" s="12"/>
      <x:c r="C5" s="12"/>
      <x:c r="D5" s="12"/>
      <x:c r="E5" s="12"/>
      <x:c r="F5" s="115"/>
      <x:c r="G5" s="12"/>
      <x:c r="H5" s="12"/>
      <x:c r="I5" s="12"/>
      <x:c r="J5" s="12"/>
      <x:c r="K5" s="12"/>
      <x:c r="L5" s="12"/>
      <x:c r="M5" s="12"/>
      <x:c r="N5" s="12"/>
      <x:c r="O5" s="12"/>
      <x:c r="P5" s="12"/>
    </x:row>
    <x:row r="6" ht="20" customHeight="1">
      <x:c r="A6" s="27" t="str">
        <x:v>Segment Revenue</x:v>
      </x:c>
      <x:c r="B6" s="27"/>
      <x:c r="C6" s="27"/>
      <x:c r="D6" s="27"/>
      <x:c r="E6" s="27"/>
      <x:c r="F6" s="139"/>
      <x:c r="G6" s="27"/>
      <x:c r="H6" s="27"/>
      <x:c r="I6" s="27"/>
      <x:c r="J6" s="27"/>
      <x:c r="K6" s="27"/>
      <x:c r="L6" s="27"/>
      <x:c r="M6" s="27"/>
      <x:c r="N6" s="27"/>
      <x:c r="O6" s="27"/>
      <x:c r="P6" s="12"/>
    </x:row>
    <x:row r="7">
      <x:c r="A7" s="12" t="str">
        <x:v>Productivity &amp; Business Processes</x:v>
      </x:c>
      <x:c r="B7" s="62" t="n">
        <x:f>'05_Segment_Drivers'!B7</x:f>
        <x:v>94151</x:v>
      </x:c>
      <x:c r="C7" s="62" t="n">
        <x:f>'05_Segment_Drivers'!C7</x:f>
        <x:v>106820</x:v>
      </x:c>
      <x:c r="D7" s="62" t="n">
        <x:f>'05_Segment_Drivers'!D7</x:f>
        <x:v>120810</x:v>
      </x:c>
      <x:c r="E7" s="62" t="n">
        <x:f>'05_Segment_Drivers'!E7</x:f>
        <x:v>139996</x:v>
      </x:c>
      <x:c r="F7" s="150" t="n">
        <x:f>'05_Segment_Drivers'!F7</x:f>
        <x:v>156795.52000000002</x:v>
      </x:c>
      <x:c r="G7" s="62" t="n">
        <x:f>'05_Segment_Drivers'!G7</x:f>
        <x:v>173259.04960000003</x:v>
      </x:c>
      <x:c r="H7" s="62" t="n">
        <x:f>'05_Segment_Drivers'!H7</x:f>
        <x:v>188852.36406400005</x:v>
      </x:c>
      <x:c r="I7" s="62" t="n">
        <x:f>'05_Segment_Drivers'!I7</x:f>
        <x:v>203960.55318912008</x:v>
      </x:c>
      <x:c r="J7" s="62" t="n">
        <x:f>'05_Segment_Drivers'!J7</x:f>
        <x:v>218237.7919123585</x:v>
      </x:c>
      <x:c r="K7" s="62" t="n">
        <x:f>'05_Segment_Drivers'!K7</x:f>
        <x:v>231332.0594271</x:v>
      </x:c>
      <x:c r="L7" s="62" t="n">
        <x:f>'05_Segment_Drivers'!L7</x:f>
        <x:v>244055.3226955905</x:v>
      </x:c>
      <x:c r="M7" s="62" t="n">
        <x:f>'05_Segment_Drivers'!M7</x:f>
        <x:v>256258.08883037002</x:v>
      </x:c>
      <x:c r="N7" s="62" t="n">
        <x:f>'05_Segment_Drivers'!N7</x:f>
        <x:v>267789.7028277367</x:v>
      </x:c>
      <x:c r="O7" s="62" t="n">
        <x:f>'05_Segment_Drivers'!O7</x:f>
        <x:v>278501.29094084614</x:v>
      </x:c>
      <x:c r="P7" s="12"/>
    </x:row>
    <x:row r="8">
      <x:c r="A8" s="12" t="str">
        <x:v>Intelligent Cloud</x:v>
      </x:c>
      <x:c r="B8" s="62" t="n">
        <x:f>'05_Segment_Drivers'!B14</x:f>
        <x:v>72944</x:v>
      </x:c>
      <x:c r="C8" s="62" t="n">
        <x:f>'05_Segment_Drivers'!C14</x:f>
        <x:v>87464</x:v>
      </x:c>
      <x:c r="D8" s="62" t="n">
        <x:f>'05_Segment_Drivers'!D14</x:f>
        <x:v>106265</x:v>
      </x:c>
      <x:c r="E8" s="62" t="n">
        <x:f>'05_Segment_Drivers'!E14</x:f>
        <x:v>137791</x:v>
      </x:c>
      <x:c r="F8" s="150" t="n">
        <x:f>'05_Segment_Drivers'!F14</x:f>
        <x:v>179128.30000000002</x:v>
      </x:c>
      <x:c r="G8" s="62" t="n">
        <x:f>'05_Segment_Drivers'!G14</x:f>
        <x:v>222119.09200000003</x:v>
      </x:c>
      <x:c r="H8" s="62" t="n">
        <x:f>'05_Segment_Drivers'!H14</x:f>
        <x:v>266542.91040000005</x:v>
      </x:c>
      <x:c r="I8" s="62" t="n">
        <x:f>'05_Segment_Drivers'!I14</x:f>
        <x:v>309189.77606400003</x:v>
      </x:c>
      <x:c r="J8" s="62" t="n">
        <x:f>'05_Segment_Drivers'!J14</x:f>
        <x:v>349384.44695232</x:v>
      </x:c>
      <x:c r="K8" s="62" t="n">
        <x:f>'05_Segment_Drivers'!K14</x:f>
        <x:v>384322.891647552</x:v>
      </x:c>
      <x:c r="L8" s="62" t="n">
        <x:f>'05_Segment_Drivers'!L14</x:f>
        <x:v>416990.33743759396</x:v>
      </x:c>
      <x:c r="M8" s="62" t="n">
        <x:f>'05_Segment_Drivers'!M14</x:f>
        <x:v>446179.66105822555</x:v>
      </x:c>
      <x:c r="N8" s="62" t="n">
        <x:f>'05_Segment_Drivers'!N14</x:f>
        <x:v>472950.4407217191</x:v>
      </x:c>
      <x:c r="O8" s="62" t="n">
        <x:f>'05_Segment_Drivers'!O14</x:f>
        <x:v>498962.71496141364</x:v>
      </x:c>
      <x:c r="P8" s="12"/>
    </x:row>
    <x:row r="9">
      <x:c r="A9" s="12" t="str">
        <x:v>More Personal Computing</x:v>
      </x:c>
      <x:c r="B9" s="62" t="n">
        <x:f>'05_Segment_Drivers'!B21</x:f>
        <x:v>44820</x:v>
      </x:c>
      <x:c r="C9" s="62" t="n">
        <x:f>'05_Segment_Drivers'!C21</x:f>
        <x:v>50838</x:v>
      </x:c>
      <x:c r="D9" s="62" t="n">
        <x:f>'05_Segment_Drivers'!D21</x:f>
        <x:v>54649</x:v>
      </x:c>
      <x:c r="E9" s="62" t="n">
        <x:f>'05_Segment_Drivers'!E21</x:f>
        <x:v>54052</x:v>
      </x:c>
      <x:c r="F9" s="150" t="n">
        <x:f>'05_Segment_Drivers'!F21</x:f>
        <x:v>49727.840000000004</x:v>
      </x:c>
      <x:c r="G9" s="62" t="n">
        <x:f>'05_Segment_Drivers'!G21</x:f>
        <x:v>49727.840000000004</x:v>
      </x:c>
      <x:c r="H9" s="62" t="n">
        <x:f>'05_Segment_Drivers'!H21</x:f>
        <x:v>50473.7576</x:v>
      </x:c>
      <x:c r="I9" s="62" t="n">
        <x:f>'05_Segment_Drivers'!I21</x:f>
        <x:v>51735.601539999996</x:v>
      </x:c>
      <x:c r="J9" s="62" t="n">
        <x:f>'05_Segment_Drivers'!J21</x:f>
        <x:v>53287.6695862</x:v>
      </x:c>
      <x:c r="K9" s="62" t="n">
        <x:f>'05_Segment_Drivers'!K21</x:f>
        <x:v>54886.299673786</x:v>
      </x:c>
      <x:c r="L9" s="62" t="n">
        <x:f>'05_Segment_Drivers'!L21</x:f>
        <x:v>56258.45716563064</x:v>
      </x:c>
      <x:c r="M9" s="62" t="n">
        <x:f>'05_Segment_Drivers'!M21</x:f>
        <x:v>57664.91859477141</x:v>
      </x:c>
      <x:c r="N9" s="62" t="n">
        <x:f>'05_Segment_Drivers'!N21</x:f>
        <x:v>58818.216966666834</x:v>
      </x:c>
      <x:c r="O9" s="62" t="n">
        <x:f>'05_Segment_Drivers'!O21</x:f>
        <x:v>59994.581306000175</x:v>
      </x:c>
      <x:c r="P9" s="12"/>
    </x:row>
    <x:row r="10">
      <x:c r="A10" s="90" t="str">
        <x:v>Total Revenue</x:v>
      </x:c>
      <x:c r="B10" s="91" t="n">
        <x:f>SUM(B7:B9)</x:f>
        <x:v>211915</x:v>
      </x:c>
      <x:c r="C10" s="91" t="n">
        <x:f>SUM(C7:C9)</x:f>
        <x:v>245122</x:v>
      </x:c>
      <x:c r="D10" s="91" t="n">
        <x:f>SUM(D7:D9)</x:f>
        <x:v>281724</x:v>
      </x:c>
      <x:c r="E10" s="91" t="n">
        <x:f>SUM(E7:E9)</x:f>
        <x:v>331839</x:v>
      </x:c>
      <x:c r="F10" s="154" t="n">
        <x:f>SUM(F7:F9)</x:f>
        <x:v>385651.6600000001</x:v>
      </x:c>
      <x:c r="G10" s="91" t="n">
        <x:f>SUM(G7:G9)</x:f>
        <x:v>445105.9816000001</x:v>
      </x:c>
      <x:c r="H10" s="91" t="n">
        <x:f>SUM(H7:H9)</x:f>
        <x:v>505869.03206400014</x:v>
      </x:c>
      <x:c r="I10" s="91" t="n">
        <x:f>SUM(I7:I9)</x:f>
        <x:v>564885.9307931201</x:v>
      </x:c>
      <x:c r="J10" s="91" t="n">
        <x:f>SUM(J7:J9)</x:f>
        <x:v>620909.9084508785</x:v>
      </x:c>
      <x:c r="K10" s="91" t="n">
        <x:f>SUM(K7:K9)</x:f>
        <x:v>670541.2507484381</x:v>
      </x:c>
      <x:c r="L10" s="91" t="n">
        <x:f>SUM(L7:L9)</x:f>
        <x:v>717304.117298815</x:v>
      </x:c>
      <x:c r="M10" s="91" t="n">
        <x:f>SUM(M7:M9)</x:f>
        <x:v>760102.668483367</x:v>
      </x:c>
      <x:c r="N10" s="91" t="n">
        <x:f>SUM(N7:N9)</x:f>
        <x:v>799558.3605161227</x:v>
      </x:c>
      <x:c r="O10" s="91" t="n">
        <x:f>SUM(O7:O9)</x:f>
        <x:v>837458.58720826</x:v>
      </x:c>
      <x:c r="P10" s="12"/>
    </x:row>
    <x:row r="11">
      <x:c r="A11" s="12" t="str">
        <x:v>Revenue Growth</x:v>
      </x:c>
      <x:c r="B11" s="38"/>
      <x:c r="C11" s="38" t="n">
        <x:f>C10/B10-1</x:f>
        <x:v>0.1566996201307127</x:v>
      </x:c>
      <x:c r="D11" s="38" t="n">
        <x:f>D10/C10-1</x:f>
        <x:v>0.14932156232406713</x:v>
      </x:c>
      <x:c r="E11" s="38" t="n">
        <x:f>E10/D10-1</x:f>
        <x:v>0.17788686799846665</x:v>
      </x:c>
      <x:c r="F11" s="116" t="n">
        <x:f>F10/E10-1</x:f>
        <x:v>0.1621649655405184</x:v>
      </x:c>
      <x:c r="G11" s="38" t="n">
        <x:f>G10/F10-1</x:f>
        <x:v>0.15416586460434267</x:v>
      </x:c>
      <x:c r="H11" s="38" t="n">
        <x:f>H10/G10-1</x:f>
        <x:v>0.13651366859995484</x:v>
      </x:c>
      <x:c r="I11" s="38" t="n">
        <x:f>I10/H10-1</x:f>
        <x:v>0.11666438344392138</x:v>
      </x:c>
      <x:c r="J11" s="38" t="n">
        <x:f>J10/I10-1</x:f>
        <x:v>0.09917750576492268</x:v>
      </x:c>
      <x:c r="K11" s="38" t="n">
        <x:f>K10/J10-1</x:f>
        <x:v>0.0799332425236794</x:v>
      </x:c>
      <x:c r="L11" s="38" t="n">
        <x:f>L10/K10-1</x:f>
        <x:v>0.06973898548102997</x:v>
      </x:c>
      <x:c r="M11" s="38" t="n">
        <x:f>M10/L10-1</x:f>
        <x:v>0.05966583789553637</x:v>
      </x:c>
      <x:c r="N11" s="38" t="n">
        <x:f>N10/M10-1</x:f>
        <x:v>0.05190837194596565</x:v>
      </x:c>
      <x:c r="O11" s="38" t="n">
        <x:f>O10/N10-1</x:f>
        <x:v>0.04740145130578388</x:v>
      </x:c>
      <x:c r="P11" s="12"/>
    </x:row>
    <x:row r="12">
      <x:c r="A12" s="12"/>
      <x:c r="B12" s="12"/>
      <x:c r="C12" s="12"/>
      <x:c r="D12" s="12"/>
      <x:c r="E12" s="12"/>
      <x:c r="F12" s="115"/>
      <x:c r="G12" s="12"/>
      <x:c r="H12" s="12"/>
      <x:c r="I12" s="12"/>
      <x:c r="J12" s="12"/>
      <x:c r="K12" s="12"/>
      <x:c r="L12" s="12"/>
      <x:c r="M12" s="12"/>
      <x:c r="N12" s="12"/>
      <x:c r="O12" s="12"/>
      <x:c r="P12" s="12"/>
    </x:row>
    <x:row r="13" ht="20" customHeight="1">
      <x:c r="A13" s="27" t="str">
        <x:v>Segment Operating Income</x:v>
      </x:c>
      <x:c r="B13" s="27"/>
      <x:c r="C13" s="27"/>
      <x:c r="D13" s="27"/>
      <x:c r="E13" s="27"/>
      <x:c r="F13" s="139"/>
      <x:c r="G13" s="27"/>
      <x:c r="H13" s="27"/>
      <x:c r="I13" s="27"/>
      <x:c r="J13" s="27"/>
      <x:c r="K13" s="27"/>
      <x:c r="L13" s="27"/>
      <x:c r="M13" s="27"/>
      <x:c r="N13" s="27"/>
      <x:c r="O13" s="27"/>
      <x:c r="P13" s="12"/>
    </x:row>
    <x:row r="14">
      <x:c r="A14" s="12" t="str">
        <x:v>Productivity &amp; Business Processes</x:v>
      </x:c>
      <x:c r="B14" s="62" t="n">
        <x:f>'05_Segment_Drivers'!B9</x:f>
        <x:v>50074</x:v>
      </x:c>
      <x:c r="C14" s="62" t="n">
        <x:f>'05_Segment_Drivers'!C9</x:f>
        <x:v>59661</x:v>
      </x:c>
      <x:c r="D14" s="62" t="n">
        <x:f>'05_Segment_Drivers'!D9</x:f>
        <x:v>69773</x:v>
      </x:c>
      <x:c r="E14" s="62" t="n">
        <x:f>'05_Segment_Drivers'!E9</x:f>
        <x:v>83879</x:v>
      </x:c>
      <x:c r="F14" s="150" t="n">
        <x:f>'05_Segment_Drivers'!F9</x:f>
        <x:v>92509.35680000001</x:v>
      </x:c>
      <x:c r="G14" s="62" t="n">
        <x:f>'05_Segment_Drivers'!G9</x:f>
        <x:v>103089.13451200002</x:v>
      </x:c>
      <x:c r="H14" s="62" t="n">
        <x:f>'05_Segment_Drivers'!H9</x:f>
        <x:v>112933.71371027203</x:v>
      </x:c>
      <x:c r="I14" s="62" t="n">
        <x:f>'05_Segment_Drivers'!I9</x:f>
        <x:v>122376.33191347204</x:v>
      </x:c>
      <x:c r="J14" s="62" t="n">
        <x:f>'05_Segment_Drivers'!J9</x:f>
        <x:v>130506.19956359037</x:v>
      </x:c>
      <x:c r="K14" s="62" t="n">
        <x:f>'05_Segment_Drivers'!K9</x:f>
        <x:v>137642.5753591245</x:v>
      </x:c>
      <x:c r="L14" s="62" t="n">
        <x:f>'05_Segment_Drivers'!L9</x:f>
        <x:v>144480.75103578958</x:v>
      </x:c>
      <x:c r="M14" s="62" t="n">
        <x:f>'05_Segment_Drivers'!M9</x:f>
        <x:v>151192.2724099183</x:v>
      </x:c>
      <x:c r="N14" s="62" t="n">
        <x:f>'05_Segment_Drivers'!N9</x:f>
        <x:v>157460.34526270916</x:v>
      </x:c>
      <x:c r="O14" s="62" t="n">
        <x:f>'05_Segment_Drivers'!O9</x:f>
        <x:v>162923.25520039498</x:v>
      </x:c>
      <x:c r="P14" s="12"/>
    </x:row>
    <x:row r="15">
      <x:c r="A15" s="12" t="str">
        <x:v>Intelligent Cloud</x:v>
      </x:c>
      <x:c r="B15" s="62" t="n">
        <x:f>'05_Segment_Drivers'!B16</x:f>
        <x:v>28411</x:v>
      </x:c>
      <x:c r="C15" s="62" t="n">
        <x:f>'05_Segment_Drivers'!C16</x:f>
        <x:v>37813</x:v>
      </x:c>
      <x:c r="D15" s="62" t="n">
        <x:f>'05_Segment_Drivers'!D16</x:f>
        <x:v>44589</x:v>
      </x:c>
      <x:c r="E15" s="62" t="n">
        <x:f>'05_Segment_Drivers'!E16</x:f>
        <x:v>56972</x:v>
      </x:c>
      <x:c r="F15" s="150" t="n">
        <x:f>'05_Segment_Drivers'!F16</x:f>
        <x:v>72546.9615</x:v>
      </x:c>
      <x:c r="G15" s="62" t="n">
        <x:f>'05_Segment_Drivers'!G16</x:f>
        <x:v>88847.63680000002</x:v>
      </x:c>
      <x:c r="H15" s="62" t="n">
        <x:f>'05_Segment_Drivers'!H16</x:f>
        <x:v>107416.79289120002</x:v>
      </x:c>
      <x:c r="I15" s="62" t="n">
        <x:f>'05_Segment_Drivers'!I16</x:f>
        <x:v>126149.428634112</x:v>
      </x:c>
      <x:c r="J15" s="62" t="n">
        <x:f>'05_Segment_Drivers'!J16</x:f>
        <x:v>144295.77659130815</x:v>
      </x:c>
      <x:c r="K15" s="62" t="n">
        <x:f>'05_Segment_Drivers'!K16</x:f>
        <x:v>160646.96870867675</x:v>
      </x:c>
      <x:c r="L15" s="62" t="n">
        <x:f>'05_Segment_Drivers'!L16</x:f>
        <x:v>176386.91273610224</x:v>
      </x:c>
      <x:c r="M15" s="62" t="n">
        <x:f>'05_Segment_Drivers'!M16</x:f>
        <x:v>190518.7152718623</x:v>
      </x:c>
      <x:c r="N15" s="62" t="n">
        <x:f>'05_Segment_Drivers'!N16</x:f>
        <x:v>203368.68951033923</x:v>
      </x:c>
      <x:c r="O15" s="62" t="n">
        <x:f>'05_Segment_Drivers'!O16</x:f>
        <x:v>215551.8928633307</x:v>
      </x:c>
      <x:c r="P15" s="12"/>
    </x:row>
    <x:row r="16">
      <x:c r="A16" s="12" t="str">
        <x:v>More Personal Computing</x:v>
      </x:c>
      <x:c r="B16" s="62" t="n">
        <x:f>'05_Segment_Drivers'!B23</x:f>
        <x:v>10038</x:v>
      </x:c>
      <x:c r="C16" s="62" t="n">
        <x:f>'05_Segment_Drivers'!C23</x:f>
        <x:v>11959</x:v>
      </x:c>
      <x:c r="D16" s="62" t="n">
        <x:f>'05_Segment_Drivers'!D23</x:f>
        <x:v>14166</x:v>
      </x:c>
      <x:c r="E16" s="62" t="n">
        <x:f>'05_Segment_Drivers'!E23</x:f>
        <x:v>14386</x:v>
      </x:c>
      <x:c r="F16" s="150" t="n">
        <x:f>'05_Segment_Drivers'!F23</x:f>
        <x:v>12431.960000000001</x:v>
      </x:c>
      <x:c r="G16" s="62" t="n">
        <x:f>'05_Segment_Drivers'!G23</x:f>
        <x:v>12680.5992</x:v>
      </x:c>
      <x:c r="H16" s="62" t="n">
        <x:f>'05_Segment_Drivers'!H23</x:f>
        <x:v>13123.176975999999</x:v>
      </x:c>
      <x:c r="I16" s="62" t="n">
        <x:f>'05_Segment_Drivers'!I23</x:f>
        <x:v>13554.72760348</x:v>
      </x:c>
      <x:c r="J16" s="62" t="n">
        <x:f>'05_Segment_Drivers'!J23</x:f>
        <x:v>14067.9447707568</x:v>
      </x:c>
      <x:c r="K16" s="62" t="n">
        <x:f>'05_Segment_Drivers'!K23</x:f>
        <x:v>14599.755713227078</x:v>
      </x:c>
      <x:c r="L16" s="62" t="n">
        <x:f>'05_Segment_Drivers'!L23</x:f>
        <x:v>15077.266520389014</x:v>
      </x:c>
      <x:c r="M16" s="62" t="n">
        <x:f>'05_Segment_Drivers'!M23</x:f>
        <x:v>15511.86310199351</x:v>
      </x:c>
      <x:c r="N16" s="62" t="n">
        <x:f>'05_Segment_Drivers'!N23</x:f>
        <x:v>15880.918581000045</x:v>
      </x:c>
      <x:c r="O16" s="62" t="n">
        <x:f>'05_Segment_Drivers'!O23</x:f>
        <x:v>16198.536952620048</x:v>
      </x:c>
      <x:c r="P16" s="12"/>
    </x:row>
    <x:row r="17">
      <x:c r="A17" s="90" t="str">
        <x:v>Total Operating Income</x:v>
      </x:c>
      <x:c r="B17" s="91" t="n">
        <x:f>SUM(B14:B16)</x:f>
        <x:v>88523</x:v>
      </x:c>
      <x:c r="C17" s="91" t="n">
        <x:f>SUM(C14:C16)</x:f>
        <x:v>109433</x:v>
      </x:c>
      <x:c r="D17" s="91" t="n">
        <x:f>SUM(D14:D16)</x:f>
        <x:v>128528</x:v>
      </x:c>
      <x:c r="E17" s="91" t="n">
        <x:f>SUM(E14:E16)</x:f>
        <x:v>155237</x:v>
      </x:c>
      <x:c r="F17" s="154" t="n">
        <x:f>SUM(F14:F16)</x:f>
        <x:v>177488.2783</x:v>
      </x:c>
      <x:c r="G17" s="91" t="n">
        <x:f>SUM(G14:G16)</x:f>
        <x:v>204617.37051200005</x:v>
      </x:c>
      <x:c r="H17" s="91" t="n">
        <x:f>SUM(H14:H16)</x:f>
        <x:v>233473.68357747202</x:v>
      </x:c>
      <x:c r="I17" s="91" t="n">
        <x:f>SUM(I14:I16)</x:f>
        <x:v>262080.48815106403</x:v>
      </x:c>
      <x:c r="J17" s="91" t="n">
        <x:f>SUM(J14:J16)</x:f>
        <x:v>288869.92092565534</x:v>
      </x:c>
      <x:c r="K17" s="91" t="n">
        <x:f>SUM(K14:K16)</x:f>
        <x:v>312889.2997810283</x:v>
      </x:c>
      <x:c r="L17" s="91" t="n">
        <x:f>SUM(L14:L16)</x:f>
        <x:v>335944.93029228086</x:v>
      </x:c>
      <x:c r="M17" s="91" t="n">
        <x:f>SUM(M14:M16)</x:f>
        <x:v>357222.8507837741</x:v>
      </x:c>
      <x:c r="N17" s="91" t="n">
        <x:f>SUM(N14:N16)</x:f>
        <x:v>376709.9533540484</x:v>
      </x:c>
      <x:c r="O17" s="91" t="n">
        <x:f>SUM(O14:O16)</x:f>
        <x:v>394673.6850163457</x:v>
      </x:c>
      <x:c r="P17" s="12"/>
    </x:row>
    <x:row r="18">
      <x:c r="A18" s="12" t="str">
        <x:v>Operating Income Growth</x:v>
      </x:c>
      <x:c r="B18" s="38"/>
      <x:c r="C18" s="38" t="n">
        <x:f>C17/B17-1</x:f>
        <x:v>0.23620979858341906</x:v>
      </x:c>
      <x:c r="D18" s="38" t="n">
        <x:f>D17/C17-1</x:f>
        <x:v>0.17449032741494785</x:v>
      </x:c>
      <x:c r="E18" s="38" t="n">
        <x:f>E17/D17-1</x:f>
        <x:v>0.20780685920577624</x:v>
      </x:c>
      <x:c r="F18" s="116" t="n">
        <x:f>F17/E17-1</x:f>
        <x:v>0.14333746658335333</x:v>
      </x:c>
      <x:c r="G18" s="38" t="n">
        <x:f>G17/F17-1</x:f>
        <x:v>0.15285004999679486</x:v>
      </x:c>
      <x:c r="H18" s="38" t="n">
        <x:f>H17/G17-1</x:f>
        <x:v>0.14102572520244383</x:v>
      </x:c>
      <x:c r="I18" s="38" t="n">
        <x:f>I17/H17-1</x:f>
        <x:v>0.12252689097655667</x:v>
      </x:c>
      <x:c r="J18" s="38" t="n">
        <x:f>J17/I17-1</x:f>
        <x:v>0.10221834125686535</x:v>
      </x:c>
      <x:c r="K18" s="38" t="n">
        <x:f>K17/J17-1</x:f>
        <x:v>0.0831494631853853</x:v>
      </x:c>
      <x:c r="L18" s="38" t="n">
        <x:f>L17/K17-1</x:f>
        <x:v>0.07368622233929933</x:v>
      </x:c>
      <x:c r="M18" s="38" t="n">
        <x:f>M17/L17-1</x:f>
        <x:v>0.06333752520980429</x:v>
      </x:c>
      <x:c r="N18" s="38" t="n">
        <x:f>N17/M17-1</x:f>
        <x:v>0.054551668594319036</x:v>
      </x:c>
      <x:c r="O18" s="38" t="n">
        <x:f>O17/N17-1</x:f>
        <x:v>0.04768584292067857</x:v>
      </x:c>
      <x:c r="P18" s="12"/>
    </x:row>
    <x:row r="19">
      <x:c r="A19" s="12" t="str">
        <x:v>Operating Margin</x:v>
      </x:c>
      <x:c r="B19" s="38" t="n">
        <x:f>B17/B10</x:f>
        <x:v>0.417728806361041</x:v>
      </x:c>
      <x:c r="C19" s="38" t="n">
        <x:f>C17/C10</x:f>
        <x:v>0.44644299573273716</x:v>
      </x:c>
      <x:c r="D19" s="38" t="n">
        <x:f>D17/D10</x:f>
        <x:v>0.4562195624085985</x:v>
      </x:c>
      <x:c r="E19" s="38" t="n">
        <x:f>E17/E10</x:f>
        <x:v>0.4678081840892722</x:v>
      </x:c>
      <x:c r="F19" s="116" t="n">
        <x:f>F17/F10</x:f>
        <x:v>0.4602295198210737</x:v>
      </x:c>
      <x:c r="G19" s="38" t="n">
        <x:f>G17/G10</x:f>
        <x:v>0.4597048320412866</x:v>
      </x:c>
      <x:c r="H19" s="38" t="n">
        <x:f>H17/H10</x:f>
        <x:v>0.4615298995964909</x:v>
      </x:c>
      <x:c r="I19" s="38" t="n">
        <x:f>I17/I10</x:f>
        <x:v>0.46395293963702305</x:v>
      </x:c>
      <x:c r="J19" s="38" t="n">
        <x:f>J17/J10</x:f>
        <x:v>0.46523644895015953</x:v>
      </x:c>
      <x:c r="K19" s="38" t="n">
        <x:f>K17/K10</x:f>
        <x:v>0.46662200040905855</x:v>
      </x:c>
      <x:c r="L19" s="38" t="n">
        <x:f>L17/L10</x:f>
        <x:v>0.46834379197119913</x:v>
      </x:c>
      <x:c r="M19" s="38" t="n">
        <x:f>M17/M10</x:f>
        <x:v>0.46996657898404826</x:v>
      </x:c>
      <x:c r="N19" s="38" t="n">
        <x:f>N17/N10</x:f>
        <x:v>0.4711475383871648</x:v>
      </x:c>
      <x:c r="O19" s="38" t="n">
        <x:f>O17/O10</x:f>
        <x:v>0.4712754648943589</x:v>
      </x:c>
      <x:c r="P19" s="12"/>
    </x:row>
    <x:row r="20">
      <x:c r="A20" s="12"/>
      <x:c r="B20" s="12"/>
      <x:c r="C20" s="12"/>
      <x:c r="D20" s="12"/>
      <x:c r="E20" s="12"/>
      <x:c r="F20" s="115"/>
      <x:c r="G20" s="12"/>
      <x:c r="H20" s="12"/>
      <x:c r="I20" s="12"/>
      <x:c r="J20" s="12"/>
      <x:c r="K20" s="12"/>
      <x:c r="L20" s="12"/>
      <x:c r="M20" s="12"/>
      <x:c r="N20" s="12"/>
      <x:c r="O20" s="12"/>
      <x:c r="P20" s="12"/>
    </x:row>
    <x:row r="21" ht="20" customHeight="1">
      <x:c r="A21" s="27" t="str">
        <x:v>After-Tax Operating Profit</x:v>
      </x:c>
      <x:c r="B21" s="27"/>
      <x:c r="C21" s="27"/>
      <x:c r="D21" s="27"/>
      <x:c r="E21" s="27"/>
      <x:c r="F21" s="139"/>
      <x:c r="G21" s="27"/>
      <x:c r="H21" s="27"/>
      <x:c r="I21" s="27"/>
      <x:c r="J21" s="27"/>
      <x:c r="K21" s="27"/>
      <x:c r="L21" s="27"/>
      <x:c r="M21" s="27"/>
      <x:c r="N21" s="27"/>
      <x:c r="O21" s="27"/>
      <x:c r="P21" s="12"/>
    </x:row>
    <x:row r="22">
      <x:c r="A22" s="12" t="str">
        <x:v>Operating Tax Rate</x:v>
      </x:c>
      <x:c r="B22" s="128" t="n">
        <x:f>'00_Assumptions'!B3</x:f>
        <x:v>0.18</x:v>
      </x:c>
      <x:c r="C22" s="128" t="n">
        <x:f>'00_Assumptions'!C3</x:f>
        <x:v>0.18</x:v>
      </x:c>
      <x:c r="D22" s="128" t="n">
        <x:f>'00_Assumptions'!D3</x:f>
        <x:v>0.18</x:v>
      </x:c>
      <x:c r="E22" s="128" t="n">
        <x:f>'00_Assumptions'!E3</x:f>
        <x:v>0.18</x:v>
      </x:c>
      <x:c r="F22" s="146" t="n">
        <x:f>'00_Assumptions'!B20</x:f>
        <x:v>0.2</x:v>
      </x:c>
      <x:c r="G22" s="128" t="n">
        <x:f>'00_Assumptions'!C20</x:f>
        <x:v>0.195</x:v>
      </x:c>
      <x:c r="H22" s="128" t="n">
        <x:f>'00_Assumptions'!D20</x:f>
        <x:v>0.19</x:v>
      </x:c>
      <x:c r="I22" s="128" t="n">
        <x:f>'00_Assumptions'!E20</x:f>
        <x:v>0.19</x:v>
      </x:c>
      <x:c r="J22" s="128" t="n">
        <x:f>'00_Assumptions'!F20</x:f>
        <x:v>0.19</x:v>
      </x:c>
      <x:c r="K22" s="128" t="n">
        <x:f>'00_Assumptions'!G20</x:f>
        <x:v>0.19</x:v>
      </x:c>
      <x:c r="L22" s="128" t="n">
        <x:f>'00_Assumptions'!H20</x:f>
        <x:v>0.19</x:v>
      </x:c>
      <x:c r="M22" s="128" t="n">
        <x:f>'00_Assumptions'!I20</x:f>
        <x:v>0.19</x:v>
      </x:c>
      <x:c r="N22" s="128" t="n">
        <x:f>'00_Assumptions'!J20</x:f>
        <x:v>0.19</x:v>
      </x:c>
      <x:c r="O22" s="128" t="n">
        <x:f>'00_Assumptions'!K20</x:f>
        <x:v>0.19</x:v>
      </x:c>
      <x:c r="P22" s="12"/>
    </x:row>
    <x:row r="23">
      <x:c r="A23" s="90" t="str">
        <x:v>NOPAT</x:v>
      </x:c>
      <x:c r="B23" s="91" t="n">
        <x:f>B17*(1-B22)</x:f>
        <x:v>72588.86</x:v>
      </x:c>
      <x:c r="C23" s="91" t="n">
        <x:f>C17*(1-C22)</x:f>
        <x:v>89735.06000000001</x:v>
      </x:c>
      <x:c r="D23" s="91" t="n">
        <x:f>D17*(1-D22)</x:f>
        <x:v>105392.96</x:v>
      </x:c>
      <x:c r="E23" s="91" t="n">
        <x:f>E17*(1-E22)</x:f>
        <x:v>127294.34000000001</x:v>
      </x:c>
      <x:c r="F23" s="154" t="n">
        <x:f>F17*(1-F22)</x:f>
        <x:v>141990.62264000002</x:v>
      </x:c>
      <x:c r="G23" s="91" t="n">
        <x:f>G17*(1-G22)</x:f>
        <x:v>164716.98326216004</x:v>
      </x:c>
      <x:c r="H23" s="91" t="n">
        <x:f>H17*(1-H22)</x:f>
        <x:v>189113.68369775236</x:v>
      </x:c>
      <x:c r="I23" s="91" t="n">
        <x:f>I17*(1-I22)</x:f>
        <x:v>212285.1954023619</x:v>
      </x:c>
      <x:c r="J23" s="91" t="n">
        <x:f>J17*(1-J22)</x:f>
        <x:v>233984.63594978084</x:v>
      </x:c>
      <x:c r="K23" s="91" t="n">
        <x:f>K17*(1-K22)</x:f>
        <x:v>253440.33282263295</x:v>
      </x:c>
      <x:c r="L23" s="91" t="n">
        <x:f>L17*(1-L22)</x:f>
        <x:v>272115.3935367475</x:v>
      </x:c>
      <x:c r="M23" s="91" t="n">
        <x:f>M17*(1-M22)</x:f>
        <x:v>289350.50913485704</x:v>
      </x:c>
      <x:c r="N23" s="91" t="n">
        <x:f>N17*(1-N22)</x:f>
        <x:v>305135.0622167792</x:v>
      </x:c>
      <x:c r="O23" s="91" t="n">
        <x:f>O17*(1-O22)</x:f>
        <x:v>319685.68486324005</x:v>
      </x:c>
      <x:c r="P23" s="12"/>
    </x:row>
    <x:row r="24">
      <x:c r="A24" s="12"/>
      <x:c r="B24" s="12"/>
      <x:c r="C24" s="12"/>
      <x:c r="D24" s="12"/>
      <x:c r="E24" s="12"/>
      <x:c r="F24" s="115"/>
      <x:c r="G24" s="12"/>
      <x:c r="H24" s="12"/>
      <x:c r="I24" s="12"/>
      <x:c r="J24" s="12"/>
      <x:c r="K24" s="12"/>
      <x:c r="L24" s="12"/>
      <x:c r="M24" s="12"/>
      <x:c r="N24" s="12"/>
      <x:c r="O24" s="12"/>
      <x:c r="P24" s="12"/>
    </x:row>
    <x:row r="25" ht="20" customHeight="1">
      <x:c r="A25" s="27" t="str">
        <x:v>Reinvestment &amp; Unlevered Free Cash Flow</x:v>
      </x:c>
      <x:c r="B25" s="27"/>
      <x:c r="C25" s="27"/>
      <x:c r="D25" s="27"/>
      <x:c r="E25" s="27"/>
      <x:c r="F25" s="139"/>
      <x:c r="G25" s="27"/>
      <x:c r="H25" s="27"/>
      <x:c r="I25" s="27"/>
      <x:c r="J25" s="27"/>
      <x:c r="K25" s="27"/>
      <x:c r="L25" s="27"/>
      <x:c r="M25" s="27"/>
      <x:c r="N25" s="27"/>
      <x:c r="O25" s="27"/>
      <x:c r="P25" s="12"/>
    </x:row>
    <x:row r="26">
      <x:c r="A26" s="12" t="str">
        <x:v>Depreciation, Amortization &amp; Other</x:v>
      </x:c>
      <x:c r="B26" s="51" t="n">
        <x:v>13861</x:v>
      </x:c>
      <x:c r="C26" s="51" t="n">
        <x:v>22287</x:v>
      </x:c>
      <x:c r="D26" s="51" t="n">
        <x:v>29433</x:v>
      </x:c>
      <x:c r="E26" s="51" t="n">
        <x:v>38534</x:v>
      </x:c>
      <x:c r="F26" s="144" t="n">
        <x:f>F10*F27</x:f>
        <x:v>46278.19920000001</x:v>
      </x:c>
      <x:c r="G26" s="44" t="n">
        <x:f>G10*G27</x:f>
        <x:v>56973.565644800015</x:v>
      </x:c>
      <x:c r="H26" s="44" t="n">
        <x:f>H10*H27</x:f>
        <x:v>67280.58126451202</x:v>
      </x:c>
      <x:c r="I26" s="44" t="n">
        <x:f>I10*I27</x:f>
        <x:v>75129.82879548497</x:v>
      </x:c>
      <x:c r="J26" s="44" t="n">
        <x:f>J10*J27</x:f>
        <x:v>80718.2880986142</x:v>
      </x:c>
      <x:c r="K26" s="44" t="n">
        <x:f>K10*K27</x:f>
        <x:v>83817.65634355476</x:v>
      </x:c>
      <x:c r="L26" s="44" t="n">
        <x:f>L10*L27</x:f>
        <x:v>86076.4940758578</x:v>
      </x:c>
      <x:c r="M26" s="44" t="n">
        <x:f>M10*M27</x:f>
        <x:v>87411.80687558721</x:v>
      </x:c>
      <x:c r="N26" s="44" t="n">
        <x:f>N10*N27</x:f>
        <x:v>87951.41965677349</x:v>
      </x:c>
      <x:c r="O26" s="44" t="n">
        <x:f>O10*O27</x:f>
        <x:v>87933.1516568673</x:v>
      </x:c>
      <x:c r="P26" s="12"/>
    </x:row>
    <x:row r="27">
      <x:c r="A27" s="12" t="str">
        <x:v>D&amp;A/Revenue</x:v>
      </x:c>
      <x:c r="B27" s="38" t="n">
        <x:f>B26/B10</x:f>
        <x:v>0.06540830049784112</x:v>
      </x:c>
      <x:c r="C27" s="38" t="n">
        <x:f>C26/C10</x:f>
        <x:v>0.09092207145829424</x:v>
      </x:c>
      <x:c r="D27" s="38" t="n">
        <x:v>0.10447459215402309</x:v>
      </x:c>
      <x:c r="E27" s="38" t="n">
        <x:v>0.11612257751499974</x:v>
      </x:c>
      <x:c r="F27" s="146" t="n">
        <x:f>'00_Assumptions'!B21</x:f>
        <x:v>0.12</x:v>
      </x:c>
      <x:c r="G27" s="128" t="n">
        <x:f>'00_Assumptions'!C21</x:f>
        <x:v>0.128</x:v>
      </x:c>
      <x:c r="H27" s="128" t="n">
        <x:f>'00_Assumptions'!D21</x:f>
        <x:v>0.133</x:v>
      </x:c>
      <x:c r="I27" s="128" t="n">
        <x:f>'00_Assumptions'!E21</x:f>
        <x:v>0.133</x:v>
      </x:c>
      <x:c r="J27" s="128" t="n">
        <x:f>'00_Assumptions'!F21</x:f>
        <x:v>0.13</x:v>
      </x:c>
      <x:c r="K27" s="128" t="n">
        <x:f>'00_Assumptions'!G21</x:f>
        <x:v>0.125</x:v>
      </x:c>
      <x:c r="L27" s="128" t="n">
        <x:f>'00_Assumptions'!H21</x:f>
        <x:v>0.12</x:v>
      </x:c>
      <x:c r="M27" s="128" t="n">
        <x:f>'00_Assumptions'!I21</x:f>
        <x:v>0.115</x:v>
      </x:c>
      <x:c r="N27" s="128" t="n">
        <x:f>'00_Assumptions'!J21</x:f>
        <x:v>0.11</x:v>
      </x:c>
      <x:c r="O27" s="128" t="n">
        <x:f>'00_Assumptions'!K21</x:f>
        <x:v>0.105</x:v>
      </x:c>
      <x:c r="P27" s="12"/>
    </x:row>
    <x:row r="28">
      <x:c r="A28" s="12" t="str">
        <x:v>Cash CapEx</x:v>
      </x:c>
      <x:c r="B28" s="62" t="n">
        <x:f>'02_Historical_Financials'!D17</x:f>
        <x:v>28107</x:v>
      </x:c>
      <x:c r="C28" s="62" t="n">
        <x:f>'02_Historical_Financials'!E17</x:f>
        <x:v>44477</x:v>
      </x:c>
      <x:c r="D28" s="62" t="n">
        <x:f>'02_Historical_Financials'!F17</x:f>
        <x:v>64551</x:v>
      </x:c>
      <x:c r="E28" s="62" t="n">
        <x:f>'02_Historical_Financials'!G17</x:f>
        <x:v>115948</x:v>
      </x:c>
      <x:c r="F28" s="144" t="n">
        <x:f>F10*F29</x:f>
        <x:v>146547.63080000004</x:v>
      </x:c>
      <x:c r="G28" s="44" t="n">
        <x:f>G10*G29</x:f>
        <x:v>160238.15337600003</x:v>
      </x:c>
      <x:c r="H28" s="44" t="n">
        <x:f>H10*H29</x:f>
        <x:v>161878.09026048004</x:v>
      </x:c>
      <x:c r="I28" s="44" t="n">
        <x:f>I10*I29</x:f>
        <x:v>158168.06062207362</x:v>
      </x:c>
      <x:c r="J28" s="44" t="n">
        <x:f>J10*J29</x:f>
        <x:v>155227.4771127196</x:v>
      </x:c>
      <x:c r="K28" s="44" t="n">
        <x:f>K10*K29</x:f>
        <x:v>147519.0751646564</x:v>
      </x:c>
      <x:c r="L28" s="44" t="n">
        <x:f>L10*L29</x:f>
        <x:v>143460.82345976302</x:v>
      </x:c>
      <x:c r="M28" s="44" t="n">
        <x:f>M10*M29</x:f>
        <x:v>136818.48032700605</x:v>
      </x:c>
      <x:c r="N28" s="44" t="n">
        <x:f>N10*N29</x:f>
        <x:v>131927.12948516026</x:v>
      </x:c>
      <x:c r="O28" s="44" t="n">
        <x:f>O10*O29</x:f>
        <x:v>125618.78808123899</x:v>
      </x:c>
      <x:c r="P28" s="12"/>
    </x:row>
    <x:row r="29">
      <x:c r="A29" s="12" t="str">
        <x:v>Cash CapEx/Revenue</x:v>
      </x:c>
      <x:c r="B29" s="38" t="n">
        <x:f>B28/B10</x:f>
        <x:v>0.13263336715192411</x:v>
      </x:c>
      <x:c r="C29" s="38" t="n">
        <x:f>C28/C10</x:f>
        <x:v>0.18144842160230415</x:v>
      </x:c>
      <x:c r="D29" s="38" t="n">
        <x:f>D28/D10</x:f>
        <x:v>0.22912850875324786</x:v>
      </x:c>
      <x:c r="E29" s="38" t="n">
        <x:v>0.34941040685392616</x:v>
      </x:c>
      <x:c r="F29" s="146" t="n">
        <x:f>'00_Assumptions'!B22</x:f>
        <x:v>0.38</x:v>
      </x:c>
      <x:c r="G29" s="128" t="n">
        <x:f>'00_Assumptions'!C22</x:f>
        <x:v>0.36</x:v>
      </x:c>
      <x:c r="H29" s="128" t="n">
        <x:f>'00_Assumptions'!D22</x:f>
        <x:v>0.32</x:v>
      </x:c>
      <x:c r="I29" s="128" t="n">
        <x:f>'00_Assumptions'!E22</x:f>
        <x:v>0.28</x:v>
      </x:c>
      <x:c r="J29" s="128" t="n">
        <x:f>'00_Assumptions'!F22</x:f>
        <x:v>0.25</x:v>
      </x:c>
      <x:c r="K29" s="128" t="n">
        <x:f>'00_Assumptions'!G22</x:f>
        <x:v>0.22</x:v>
      </x:c>
      <x:c r="L29" s="128" t="n">
        <x:f>'00_Assumptions'!H22</x:f>
        <x:v>0.2</x:v>
      </x:c>
      <x:c r="M29" s="128" t="n">
        <x:f>'00_Assumptions'!I22</x:f>
        <x:v>0.18</x:v>
      </x:c>
      <x:c r="N29" s="128" t="n">
        <x:f>'00_Assumptions'!J22</x:f>
        <x:v>0.165</x:v>
      </x:c>
      <x:c r="O29" s="128" t="n">
        <x:f>'00_Assumptions'!K22</x:f>
        <x:v>0.15</x:v>
      </x:c>
      <x:c r="P29" s="12"/>
    </x:row>
    <x:row r="30">
      <x:c r="A30" s="12" t="str">
        <x:v>Finance Lease Additions (Memo)</x:v>
      </x:c>
      <x:c r="B30" s="51" t="n">
        <x:v>3128</x:v>
      </x:c>
      <x:c r="C30" s="51" t="n">
        <x:v>11633</x:v>
      </x:c>
      <x:c r="D30" s="51" t="n">
        <x:v>20511</x:v>
      </x:c>
      <x:c r="E30" s="51" t="n">
        <x:v>24608</x:v>
      </x:c>
      <x:c r="F30" s="144"/>
      <x:c r="G30" s="44"/>
      <x:c r="H30" s="44"/>
      <x:c r="I30" s="44"/>
      <x:c r="J30" s="44"/>
      <x:c r="K30" s="44"/>
      <x:c r="L30" s="44"/>
      <x:c r="M30" s="44"/>
      <x:c r="N30" s="44"/>
      <x:c r="O30" s="44"/>
      <x:c r="P30" s="12"/>
    </x:row>
    <x:row r="31">
      <x:c r="A31" s="12" t="str">
        <x:v>Total Infrastructure Investment (Memo)</x:v>
      </x:c>
      <x:c r="B31" s="44" t="n">
        <x:f>IF(OR(B28="",B30=""),"",B28+B30)</x:f>
        <x:v>31235</x:v>
      </x:c>
      <x:c r="C31" s="44" t="n">
        <x:f>IF(OR(C28="",C30=""),"",C28+C30)</x:f>
        <x:v>56110</x:v>
      </x:c>
      <x:c r="D31" s="44" t="n">
        <x:f>IF(OR(D28="",D30=""),"",D28+D30)</x:f>
        <x:v>85062</x:v>
      </x:c>
      <x:c r="E31" s="44" t="n">
        <x:f>IF(OR(E28="",E30=""),"",E28+E30)</x:f>
        <x:v>140556</x:v>
      </x:c>
      <x:c r="F31" s="144"/>
      <x:c r="G31" s="44"/>
      <x:c r="H31" s="44"/>
      <x:c r="I31" s="44"/>
      <x:c r="J31" s="44"/>
      <x:c r="K31" s="44"/>
      <x:c r="L31" s="44"/>
      <x:c r="M31" s="44"/>
      <x:c r="N31" s="44"/>
      <x:c r="O31" s="44"/>
      <x:c r="P31" s="12"/>
    </x:row>
    <x:row r="32">
      <x:c r="A32" s="12" t="str">
        <x:v>Operating Net Working Capital</x:v>
      </x:c>
      <x:c r="B32" s="44" t="n">
        <x:f>B58</x:f>
        <x:v>-21755</x:v>
      </x:c>
      <x:c r="C32" s="44" t="n">
        <x:f>C58</x:f>
        <x:v>-27136</x:v>
      </x:c>
      <x:c r="D32" s="44" t="n">
        <x:v>-34442</x:v>
      </x:c>
      <x:c r="E32" s="44" t="n">
        <x:v>-26197</x:v>
      </x:c>
      <x:c r="F32" s="144" t="n">
        <x:f>F10*F33</x:f>
        <x:v>-32780.39110000001</x:v>
      </x:c>
      <x:c r="G32" s="44" t="n">
        <x:f>G10*G33</x:f>
        <x:v>-40059.53834400001</x:v>
      </x:c>
      <x:c r="H32" s="44" t="n">
        <x:f>H10*H33</x:f>
        <x:v>-48057.55804608001</x:v>
      </x:c>
      <x:c r="I32" s="44" t="n">
        <x:f>I10*I33</x:f>
        <x:v>-56488.593079312006</x:v>
      </x:c>
      <x:c r="J32" s="44" t="n">
        <x:f>J10*J33</x:f>
        <x:v>-62090.99084508785</x:v>
      </x:c>
      <x:c r="K32" s="44" t="n">
        <x:f>K10*K33</x:f>
        <x:v>-67054.1250748438</x:v>
      </x:c>
      <x:c r="L32" s="44" t="n">
        <x:f>L10*L33</x:f>
        <x:v>-71730.41172988151</x:v>
      </x:c>
      <x:c r="M32" s="44" t="n">
        <x:f>M10*M33</x:f>
        <x:v>-76010.2668483367</x:v>
      </x:c>
      <x:c r="N32" s="44" t="n">
        <x:f>N10*N33</x:f>
        <x:v>-79955.83605161228</x:v>
      </x:c>
      <x:c r="O32" s="44" t="n">
        <x:f>O10*O33</x:f>
        <x:v>-83745.858720826</x:v>
      </x:c>
      <x:c r="P32" s="12"/>
    </x:row>
    <x:row r="33">
      <x:c r="A33" s="12" t="str">
        <x:v>Operating NWC/Revenue</x:v>
      </x:c>
      <x:c r="B33" s="38" t="n">
        <x:f>(B32/B10)</x:f>
        <x:v>-0.10265908501049949</x:v>
      </x:c>
      <x:c r="C33" s="38" t="n">
        <x:f>C32/C10</x:f>
        <x:v>-0.11070405757133182</x:v>
      </x:c>
      <x:c r="D33" s="38" t="n">
        <x:f>D32/D10</x:f>
        <x:v>-0.12225440502051653</x:v>
      </x:c>
      <x:c r="E33" s="38" t="n">
        <x:f>E32/E10</x:f>
        <x:v>-0.07894491003167199</x:v>
      </x:c>
      <x:c r="F33" s="116" t="n">
        <x:f>'00_Assumptions'!B23</x:f>
        <x:v>-0.085</x:v>
      </x:c>
      <x:c r="G33" s="38" t="n">
        <x:f>'00_Assumptions'!C23</x:f>
        <x:v>-0.09</x:v>
      </x:c>
      <x:c r="H33" s="38" t="n">
        <x:f>'00_Assumptions'!D23</x:f>
        <x:v>-0.095</x:v>
      </x:c>
      <x:c r="I33" s="38" t="n">
        <x:f>'00_Assumptions'!E23</x:f>
        <x:v>-0.1</x:v>
      </x:c>
      <x:c r="J33" s="38" t="n">
        <x:f>'00_Assumptions'!F23</x:f>
        <x:v>-0.1</x:v>
      </x:c>
      <x:c r="K33" s="38" t="n">
        <x:f>'00_Assumptions'!G23</x:f>
        <x:v>-0.1</x:v>
      </x:c>
      <x:c r="L33" s="38" t="n">
        <x:f>'00_Assumptions'!H23</x:f>
        <x:v>-0.1</x:v>
      </x:c>
      <x:c r="M33" s="38" t="n">
        <x:f>'00_Assumptions'!I23</x:f>
        <x:v>-0.1</x:v>
      </x:c>
      <x:c r="N33" s="38" t="n">
        <x:f>'00_Assumptions'!J23</x:f>
        <x:v>-0.1</x:v>
      </x:c>
      <x:c r="O33" s="38" t="n">
        <x:f>'00_Assumptions'!K23</x:f>
        <x:v>-0.1</x:v>
      </x:c>
      <x:c r="P33" s="12"/>
    </x:row>
    <x:row r="34">
      <x:c r="A34" s="12" t="str">
        <x:v>Change in Operating NWC</x:v>
      </x:c>
      <x:c r="B34" s="44" t="n">
        <x:f>B67</x:f>
        <x:v>-250</x:v>
      </x:c>
      <x:c r="C34" s="44" t="n">
        <x:f>C67</x:f>
        <x:v>-6205</x:v>
      </x:c>
      <x:c r="D34" s="44" t="n">
        <x:v>1387</x:v>
      </x:c>
      <x:c r="E34" s="44" t="n">
        <x:v>-5651</x:v>
      </x:c>
      <x:c r="F34" s="144" t="n">
        <x:f>F32-E32</x:f>
        <x:v>-6583.391100000008</x:v>
      </x:c>
      <x:c r="G34" s="44" t="n">
        <x:f>G32-F32</x:f>
        <x:v>-7279.147244</x:v>
      </x:c>
      <x:c r="H34" s="44" t="n">
        <x:f>H32-G32</x:f>
        <x:v>-7998.019702080004</x:v>
      </x:c>
      <x:c r="I34" s="44" t="n">
        <x:f>I32-H32</x:f>
        <x:v>-8431.035033231994</x:v>
      </x:c>
      <x:c r="J34" s="44" t="n">
        <x:f>J32-I32</x:f>
        <x:v>-5602.397765775844</x:v>
      </x:c>
      <x:c r="K34" s="44" t="n">
        <x:f>K32-J32</x:f>
        <x:v>-4963.134229755953</x:v>
      </x:c>
      <x:c r="L34" s="44" t="n">
        <x:f>L32-K32</x:f>
        <x:v>-4676.2866550377075</x:v>
      </x:c>
      <x:c r="M34" s="44" t="n">
        <x:f>M32-L32</x:f>
        <x:v>-4279.855118455191</x:v>
      </x:c>
      <x:c r="N34" s="44" t="n">
        <x:f>N32-M32</x:f>
        <x:v>-3945.569203275576</x:v>
      </x:c>
      <x:c r="O34" s="44" t="n">
        <x:f>O32-N32</x:f>
        <x:v>-3790.022669213722</x:v>
      </x:c>
      <x:c r="P34" s="12"/>
    </x:row>
    <x:row r="35">
      <x:c r="A35" s="90" t="str">
        <x:v>Cash-Based UFCF</x:v>
      </x:c>
      <x:c r="B35" s="91" t="n">
        <x:f>B23+B26-B28-B34</x:f>
        <x:v>58592.86</x:v>
      </x:c>
      <x:c r="C35" s="91" t="n">
        <x:f>C23+C26-C28-C34</x:f>
        <x:v>73750.06000000001</x:v>
      </x:c>
      <x:c r="D35" s="91" t="n">
        <x:f>D23+D26-D28-D34</x:f>
        <x:v>68887.96000000002</x:v>
      </x:c>
      <x:c r="E35" s="91" t="n">
        <x:f>E23+E26-E28-E34</x:f>
        <x:v>55531.340000000026</x:v>
      </x:c>
      <x:c r="F35" s="154" t="n">
        <x:f>F23+F26-F28-F34</x:f>
        <x:v>48304.582139999984</x:v>
      </x:c>
      <x:c r="G35" s="91" t="n">
        <x:f>G23+G26-G28-G34</x:f>
        <x:v>68731.54277496002</x:v>
      </x:c>
      <x:c r="H35" s="91" t="n">
        <x:f>H23+H26-H28-H34</x:f>
        <x:v>102514.19440386436</x:v>
      </x:c>
      <x:c r="I35" s="91" t="n">
        <x:f>I23+I26-I28-I34</x:f>
        <x:v>137677.99860900524</x:v>
      </x:c>
      <x:c r="J35" s="91" t="n">
        <x:f>J23+J26-J28-J34</x:f>
        <x:v>165077.84470145125</x:v>
      </x:c>
      <x:c r="K35" s="91" t="n">
        <x:f>K23+K26-K28-K34</x:f>
        <x:v>194702.04823128728</x:v>
      </x:c>
      <x:c r="L35" s="91" t="n">
        <x:f>L23+L26-L28-L34</x:f>
        <x:v>219407.35080788</x:v>
      </x:c>
      <x:c r="M35" s="91" t="n">
        <x:f>M23+M26-M28-M34</x:f>
        <x:v>244223.6908018934</x:v>
      </x:c>
      <x:c r="N35" s="91" t="n">
        <x:f>N23+N26-N28-N34</x:f>
        <x:v>265104.92159166804</x:v>
      </x:c>
      <x:c r="O35" s="91" t="n">
        <x:f>O23+O26-O28-O34</x:f>
        <x:v>285790.0711080821</x:v>
      </x:c>
      <x:c r="P35" s="12"/>
    </x:row>
    <x:row r="36">
      <x:c r="A36" s="12" t="str">
        <x:v>Cash-Based UFCF Margin</x:v>
      </x:c>
      <x:c r="B36" s="38" t="n">
        <x:f>B35/B10</x:f>
        <x:v>0.2764922728452446</x:v>
      </x:c>
      <x:c r="C36" s="38" t="n">
        <x:f>C35/C10</x:f>
        <x:v>0.30087083166749623</x:v>
      </x:c>
      <x:c r="D36" s="38" t="n">
        <x:f>D35/D10</x:f>
        <x:v>0.24452286635146464</x:v>
      </x:c>
      <x:c r="E36" s="38" t="n">
        <x:f>E35/E10</x:f>
        <x:v>0.16734422415689543</x:v>
      </x:c>
      <x:c r="F36" s="116" t="n">
        <x:f>F35/F10</x:f>
        <x:v>0.12525443852620774</x:v>
      </x:c>
      <x:c r="G36" s="38" t="n">
        <x:f>G35/G10</x:f>
        <x:v>0.1544161292281317</x:v>
      </x:c>
      <x:c r="H36" s="38" t="n">
        <x:f>H35/H10</x:f>
        <x:v>0.20264967393950842</x:v>
      </x:c>
      <x:c r="I36" s="38" t="n">
        <x:f>I35/I10</x:f>
        <x:v>0.24372708028982135</x:v>
      </x:c>
      <x:c r="J36" s="38" t="n">
        <x:f>J35/J10</x:f>
        <x:v>0.26586440714613097</x:v>
      </x:c>
      <x:c r="K36" s="38" t="n">
        <x:f>K35/K10</x:f>
        <x:v>0.29036550400734734</x:v>
      </x:c>
      <x:c r="L36" s="38" t="n">
        <x:f>L35/L10</x:f>
        <x:v>0.3058777239898082</x:v>
      </x:c>
      <x:c r="M36" s="38" t="n">
        <x:f>M35/M10</x:f>
        <x:v>0.3213035566487261</x:v>
      </x:c>
      <x:c r="N36" s="38" t="n">
        <x:f>N35/N10</x:f>
        <x:v>0.33156419178775176</x:v>
      </x:c>
      <x:c r="O36" s="38" t="n">
        <x:f>O35/O10</x:f>
        <x:v>0.3412587505500275</x:v>
      </x:c>
      <x:c r="P36" s="12"/>
    </x:row>
    <x:row r="37">
      <x:c r="A37" s="12" t="str">
        <x:v>Total CapEx</x:v>
      </x:c>
      <x:c r="B37" s="44" t="n">
        <x:f>B28+B30</x:f>
        <x:v>31235</x:v>
      </x:c>
      <x:c r="C37" s="44" t="n">
        <x:f>C28+C30</x:f>
        <x:v>56110</x:v>
      </x:c>
      <x:c r="D37" s="44" t="n">
        <x:f>D28+D30</x:f>
        <x:v>85062</x:v>
      </x:c>
      <x:c r="E37" s="44" t="n">
        <x:f>E28+E30</x:f>
        <x:v>140556</x:v>
      </x:c>
      <x:c r="F37" s="144" t="n">
        <x:f>F10*F38</x:f>
        <x:v>165830.21380000003</x:v>
      </x:c>
      <x:c r="G37" s="44" t="n">
        <x:f>G10*G38</x:f>
        <x:v>178042.39264000006</x:v>
      </x:c>
      <x:c r="H37" s="44" t="n">
        <x:f>H10*H38</x:f>
        <x:v>177054.16122240003</x:v>
      </x:c>
      <x:c r="I37" s="44" t="n">
        <x:f>I10*I38</x:f>
        <x:v>169465.77923793602</x:v>
      </x:c>
      <x:c r="J37" s="44" t="n">
        <x:f>J10*J38</x:f>
        <x:v>164541.1257394828</x:v>
      </x:c>
      <x:c r="K37" s="44" t="n">
        <x:f>K10*K38</x:f>
        <x:v>157577.19392588292</x:v>
      </x:c>
      <x:c r="L37" s="44" t="n">
        <x:f>L10*L38</x:f>
        <x:v>150633.86463275115</x:v>
      </x:c>
      <x:c r="M37" s="44" t="n">
        <x:f>M10*M38</x:f>
        <x:v>144419.5070118397</x:v>
      </x:c>
      <x:c r="N37" s="44" t="n">
        <x:f>N10*N38</x:f>
        <x:v>139922.71309032146</x:v>
      </x:c>
      <x:c r="O37" s="44" t="n">
        <x:f>O10*O38</x:f>
        <x:v>133993.3739533216</x:v>
      </x:c>
      <x:c r="P37" s="12"/>
    </x:row>
    <x:row r="38">
      <x:c r="A38" s="12" t="str">
        <x:v>Total CapEx/Revenue</x:v>
      </x:c>
      <x:c r="B38" s="38" t="n">
        <x:f>B37/B10</x:f>
        <x:v>0.14739400231224783</x:v>
      </x:c>
      <x:c r="C38" s="38" t="n">
        <x:f>C37/C10</x:f>
        <x:v>0.22890642210817472</x:v>
      </x:c>
      <x:c r="D38" s="38" t="n">
        <x:f>D37/D10</x:f>
        <x:v>0.3019338075563317</x:v>
      </x:c>
      <x:c r="E38" s="38" t="n">
        <x:f>E37/E10</x:f>
        <x:v>0.4235668501893991</x:v>
      </x:c>
      <x:c r="F38" s="116" t="n">
        <x:f>'00_Assumptions'!B24</x:f>
        <x:v>0.43</x:v>
      </x:c>
      <x:c r="G38" s="38" t="n">
        <x:f>'00_Assumptions'!C24</x:f>
        <x:v>0.4</x:v>
      </x:c>
      <x:c r="H38" s="38" t="n">
        <x:f>'00_Assumptions'!D24</x:f>
        <x:v>0.35</x:v>
      </x:c>
      <x:c r="I38" s="38" t="n">
        <x:f>'00_Assumptions'!E24</x:f>
        <x:v>0.3</x:v>
      </x:c>
      <x:c r="J38" s="38" t="n">
        <x:f>'00_Assumptions'!F24</x:f>
        <x:v>0.265</x:v>
      </x:c>
      <x:c r="K38" s="38" t="n">
        <x:f>'00_Assumptions'!G24</x:f>
        <x:v>0.235</x:v>
      </x:c>
      <x:c r="L38" s="38" t="n">
        <x:f>'00_Assumptions'!H24</x:f>
        <x:v>0.21</x:v>
      </x:c>
      <x:c r="M38" s="38" t="n">
        <x:f>'00_Assumptions'!I24</x:f>
        <x:v>0.19</x:v>
      </x:c>
      <x:c r="N38" s="38" t="n">
        <x:f>'00_Assumptions'!J24</x:f>
        <x:v>0.175</x:v>
      </x:c>
      <x:c r="O38" s="38" t="n">
        <x:f>'00_Assumptions'!K24</x:f>
        <x:v>0.16</x:v>
      </x:c>
      <x:c r="P38" s="12"/>
    </x:row>
    <x:row r="39">
      <x:c r="A39" s="90" t="str">
        <x:v>Lease-Adjusted UFCF</x:v>
      </x:c>
      <x:c r="B39" s="91" t="n">
        <x:f>B23+B26-B37-B34</x:f>
        <x:v>55464.86</x:v>
      </x:c>
      <x:c r="C39" s="91" t="n">
        <x:f>C23+C26-C37-C34</x:f>
        <x:v>62117.06000000001</x:v>
      </x:c>
      <x:c r="D39" s="91" t="n">
        <x:f>D23+D26-D37-D34</x:f>
        <x:v>48376.96000000002</x:v>
      </x:c>
      <x:c r="E39" s="91" t="n">
        <x:f>E23+E26-E37-E34</x:f>
        <x:v>30923.340000000026</x:v>
      </x:c>
      <x:c r="F39" s="154" t="n">
        <x:f>F23+F26-F37-F34</x:f>
        <x:v>29021.99914</x:v>
      </x:c>
      <x:c r="G39" s="91" t="n">
        <x:f>G23+G26-G37-G34</x:f>
        <x:v>50927.303510959995</x:v>
      </x:c>
      <x:c r="H39" s="91" t="n">
        <x:f>H23+H26-H37-H34</x:f>
        <x:v>87338.12344194436</x:v>
      </x:c>
      <x:c r="I39" s="91" t="n">
        <x:f>I23+I26-I37-I34</x:f>
        <x:v>126380.27999314286</x:v>
      </x:c>
      <x:c r="J39" s="91" t="n">
        <x:f>J23+J26-J37-J34</x:f>
        <x:v>155764.19607468805</x:v>
      </x:c>
      <x:c r="K39" s="91" t="n">
        <x:f>K23+K26-K37-K34</x:f>
        <x:v>184643.92947006074</x:v>
      </x:c>
      <x:c r="L39" s="91" t="n">
        <x:f>L23+L26-L37-L34</x:f>
        <x:v>212234.30963489186</x:v>
      </x:c>
      <x:c r="M39" s="91" t="n">
        <x:f>M23+M26-M37-M34</x:f>
        <x:v>236622.66411705973</x:v>
      </x:c>
      <x:c r="N39" s="91" t="n">
        <x:f>N23+N26-N37-N34</x:f>
        <x:v>257109.33798650684</x:v>
      </x:c>
      <x:c r="O39" s="91" t="n">
        <x:f>O23+O26-O37-O34</x:f>
        <x:v>277415.48523599945</x:v>
      </x:c>
      <x:c r="P39" s="12"/>
    </x:row>
    <x:row r="40">
      <x:c r="A40" s="12" t="str">
        <x:v>Lease-Adjusted UFCF Margin</x:v>
      </x:c>
      <x:c r="B40" s="38" t="n">
        <x:f>B39/B10</x:f>
        <x:v>0.26173163768492086</x:v>
      </x:c>
      <x:c r="C40" s="38" t="n">
        <x:f>C39/C10</x:f>
        <x:v>0.25341283116162566</x:v>
      </x:c>
      <x:c r="D40" s="38" t="n">
        <x:f>D39/D10</x:f>
        <x:v>0.17171756754838077</x:v>
      </x:c>
      <x:c r="E40" s="38" t="n">
        <x:f>E39/E10</x:f>
        <x:v>0.09318778082142251</x:v>
      </x:c>
      <x:c r="F40" s="116" t="n">
        <x:f>F39/F10</x:f>
        <x:v>0.0752544385262078</x:v>
      </x:c>
      <x:c r="G40" s="38" t="n">
        <x:f>G39/G10</x:f>
        <x:v>0.11441612922813163</x:v>
      </x:c>
      <x:c r="H40" s="38" t="n">
        <x:f>H39/H10</x:f>
        <x:v>0.17264967393950845</x:v>
      </x:c>
      <x:c r="I40" s="38" t="n">
        <x:f>I39/I10</x:f>
        <x:v>0.22372708028982138</x:v>
      </x:c>
      <x:c r="J40" s="38" t="n">
        <x:f>J39/J10</x:f>
        <x:v>0.2508644071461309</x:v>
      </x:c>
      <x:c r="K40" s="38" t="n">
        <x:f>K39/K10</x:f>
        <x:v>0.2753655040073474</x:v>
      </x:c>
      <x:c r="L40" s="38" t="n">
        <x:f>L39/L10</x:f>
        <x:v>0.2958777239898083</x:v>
      </x:c>
      <x:c r="M40" s="38" t="n">
        <x:f>M39/M10</x:f>
        <x:v>0.3113035566487261</x:v>
      </x:c>
      <x:c r="N40" s="38" t="n">
        <x:f>N39/N10</x:f>
        <x:v>0.32156419178775175</x:v>
      </x:c>
      <x:c r="O40" s="38" t="n">
        <x:f>O39/O10</x:f>
        <x:v>0.3312587505500275</x:v>
      </x:c>
      <x:c r="P40" s="12"/>
    </x:row>
    <x:row r="41">
      <x:c r="A41" s="12"/>
      <x:c r="B41" s="12"/>
      <x:c r="C41" s="12"/>
      <x:c r="D41" s="12"/>
      <x:c r="E41" s="12"/>
      <x:c r="F41" s="115"/>
      <x:c r="G41" s="12"/>
      <x:c r="H41" s="12"/>
      <x:c r="I41" s="12"/>
      <x:c r="J41" s="12"/>
      <x:c r="K41" s="12"/>
      <x:c r="L41" s="12"/>
      <x:c r="M41" s="12"/>
      <x:c r="N41" s="12"/>
      <x:c r="O41" s="12"/>
      <x:c r="P41" s="12"/>
    </x:row>
    <x:row r="42" ht="20" customHeight="1">
      <x:c r="A42" s="27" t="str">
        <x:v>Validation Checks</x:v>
      </x:c>
      <x:c r="B42" s="27"/>
      <x:c r="C42" s="27"/>
      <x:c r="D42" s="27"/>
      <x:c r="E42" s="27"/>
      <x:c r="F42" s="139"/>
      <x:c r="G42" s="27"/>
      <x:c r="H42" s="27"/>
      <x:c r="I42" s="27"/>
      <x:c r="J42" s="27"/>
      <x:c r="K42" s="27"/>
      <x:c r="L42" s="27"/>
      <x:c r="M42" s="27"/>
      <x:c r="N42" s="27"/>
      <x:c r="O42" s="27"/>
      <x:c r="P42" s="12"/>
    </x:row>
    <x:row r="43">
      <x:c r="A43" s="12" t="str">
        <x:v>Segment Revenue Reconciliation</x:v>
      </x:c>
      <x:c r="B43" s="44" t="n">
        <x:f>B10-'05_Segment_Drivers'!B28</x:f>
        <x:v>0</x:v>
      </x:c>
      <x:c r="C43" s="44" t="n">
        <x:f>C10-'05_Segment_Drivers'!C28</x:f>
        <x:v>0</x:v>
      </x:c>
      <x:c r="D43" s="44" t="n">
        <x:f>D10-'05_Segment_Drivers'!D28</x:f>
        <x:v>0</x:v>
      </x:c>
      <x:c r="E43" s="44" t="n">
        <x:f>E10-'05_Segment_Drivers'!E28</x:f>
        <x:v>0</x:v>
      </x:c>
      <x:c r="F43" s="144" t="n">
        <x:f>F10-'05_Segment_Drivers'!F28</x:f>
        <x:v>0</x:v>
      </x:c>
      <x:c r="G43" s="44" t="n">
        <x:f>G10-'05_Segment_Drivers'!G28</x:f>
        <x:v>0</x:v>
      </x:c>
      <x:c r="H43" s="44" t="n">
        <x:f>H10-'05_Segment_Drivers'!H28</x:f>
        <x:v>0</x:v>
      </x:c>
      <x:c r="I43" s="44" t="n">
        <x:f>I10-'05_Segment_Drivers'!I28</x:f>
        <x:v>0</x:v>
      </x:c>
      <x:c r="J43" s="44" t="n">
        <x:f>J10-'05_Segment_Drivers'!J28</x:f>
        <x:v>0</x:v>
      </x:c>
      <x:c r="K43" s="44" t="n">
        <x:f>K10-'05_Segment_Drivers'!K28</x:f>
        <x:v>0</x:v>
      </x:c>
      <x:c r="L43" s="44" t="n">
        <x:f>L10-'05_Segment_Drivers'!L28</x:f>
        <x:v>0</x:v>
      </x:c>
      <x:c r="M43" s="44" t="n">
        <x:f>M10-'05_Segment_Drivers'!M28</x:f>
        <x:v>0</x:v>
      </x:c>
      <x:c r="N43" s="44" t="n">
        <x:f>N10-'05_Segment_Drivers'!N28</x:f>
        <x:v>0</x:v>
      </x:c>
      <x:c r="O43" s="44" t="n">
        <x:f>O10-'05_Segment_Drivers'!O28</x:f>
        <x:v>0</x:v>
      </x:c>
      <x:c r="P43" s="12"/>
    </x:row>
    <x:row r="44">
      <x:c r="A44" s="12" t="str">
        <x:v>Segment Operating Income Reconciliation</x:v>
      </x:c>
      <x:c r="B44" s="44" t="n">
        <x:f>B17-'05_Segment_Drivers'!B31</x:f>
        <x:v>0</x:v>
      </x:c>
      <x:c r="C44" s="44" t="n">
        <x:f>C17-'05_Segment_Drivers'!C31</x:f>
        <x:v>0</x:v>
      </x:c>
      <x:c r="D44" s="44" t="n">
        <x:f>D17-'05_Segment_Drivers'!D31</x:f>
        <x:v>0</x:v>
      </x:c>
      <x:c r="E44" s="44" t="n">
        <x:f>E17-'05_Segment_Drivers'!E31</x:f>
        <x:v>0</x:v>
      </x:c>
      <x:c r="F44" s="144" t="n">
        <x:f>F17-'05_Segment_Drivers'!F31</x:f>
        <x:v>0</x:v>
      </x:c>
      <x:c r="G44" s="44" t="n">
        <x:f>G17-'05_Segment_Drivers'!G31</x:f>
        <x:v>0</x:v>
      </x:c>
      <x:c r="H44" s="44" t="n">
        <x:f>H17-'05_Segment_Drivers'!H31</x:f>
        <x:v>0</x:v>
      </x:c>
      <x:c r="I44" s="44" t="n">
        <x:f>I17-'05_Segment_Drivers'!I31</x:f>
        <x:v>0</x:v>
      </x:c>
      <x:c r="J44" s="44" t="n">
        <x:f>J17-'05_Segment_Drivers'!J31</x:f>
        <x:v>0</x:v>
      </x:c>
      <x:c r="K44" s="44" t="n">
        <x:f>K17-'05_Segment_Drivers'!K31</x:f>
        <x:v>0</x:v>
      </x:c>
      <x:c r="L44" s="44" t="n">
        <x:f>L17-'05_Segment_Drivers'!L31</x:f>
        <x:v>0</x:v>
      </x:c>
      <x:c r="M44" s="44" t="n">
        <x:f>M17-'05_Segment_Drivers'!M31</x:f>
        <x:v>0</x:v>
      </x:c>
      <x:c r="N44" s="44" t="n">
        <x:f>N17-'05_Segment_Drivers'!N31</x:f>
        <x:v>0</x:v>
      </x:c>
      <x:c r="O44" s="44" t="n">
        <x:f>O17-'05_Segment_Drivers'!O31</x:f>
        <x:v>0</x:v>
      </x:c>
      <x:c r="P44" s="12"/>
    </x:row>
    <x:row r="45">
      <x:c r="A45" s="12" t="str">
        <x:v>NOPAT Check</x:v>
      </x:c>
      <x:c r="B45" s="44" t="n">
        <x:f>B23-(B17*(1-B22))</x:f>
        <x:v>0</x:v>
      </x:c>
      <x:c r="C45" s="44" t="n">
        <x:f>C23-(C17*(1-C22))</x:f>
        <x:v>0</x:v>
      </x:c>
      <x:c r="D45" s="44" t="n">
        <x:f>D23-(D17*(1-D22))</x:f>
        <x:v>0</x:v>
      </x:c>
      <x:c r="E45" s="44" t="n">
        <x:f>E23-(E17*(1-E22))</x:f>
        <x:v>0</x:v>
      </x:c>
      <x:c r="F45" s="144" t="n">
        <x:f>F23-(F17*(1-F22))</x:f>
        <x:v>0</x:v>
      </x:c>
      <x:c r="G45" s="44" t="n">
        <x:f>G23-(G17*(1-G22))</x:f>
        <x:v>0</x:v>
      </x:c>
      <x:c r="H45" s="44" t="n">
        <x:f>H23-(H17*(1-H22))</x:f>
        <x:v>0</x:v>
      </x:c>
      <x:c r="I45" s="44" t="n">
        <x:f>I23-(I17*(1-I22))</x:f>
        <x:v>0</x:v>
      </x:c>
      <x:c r="J45" s="44" t="n">
        <x:f>J23-(J17*(1-J22))</x:f>
        <x:v>0</x:v>
      </x:c>
      <x:c r="K45" s="44" t="n">
        <x:f>K23-(K17*(1-K22))</x:f>
        <x:v>0</x:v>
      </x:c>
      <x:c r="L45" s="44" t="n">
        <x:f>L23-(L17*(1-L22))</x:f>
        <x:v>0</x:v>
      </x:c>
      <x:c r="M45" s="44" t="n">
        <x:f>M23-(M17*(1-M22))</x:f>
        <x:v>0</x:v>
      </x:c>
      <x:c r="N45" s="44" t="n">
        <x:f>N23-(N17*(1-N22))</x:f>
        <x:v>0</x:v>
      </x:c>
      <x:c r="O45" s="44" t="n">
        <x:f>O23-(O17*(1-O22))</x:f>
        <x:v>0</x:v>
      </x:c>
      <x:c r="P45" s="12"/>
    </x:row>
    <x:row r="46">
      <x:c r="A46" s="12" t="str">
        <x:v>UFCF Check</x:v>
      </x:c>
      <x:c r="B46" s="44" t="n">
        <x:f>B35-(B23+B26-B28-B34)</x:f>
        <x:v>0</x:v>
      </x:c>
      <x:c r="C46" s="44" t="n">
        <x:f>C35-(C23+C26-C28-C34)</x:f>
        <x:v>0</x:v>
      </x:c>
      <x:c r="D46" s="44" t="n">
        <x:f>D35-(D23+D26-D28-D34)</x:f>
        <x:v>0</x:v>
      </x:c>
      <x:c r="E46" s="44" t="n">
        <x:f>E35-(E23+E26-E28-E34)</x:f>
        <x:v>0</x:v>
      </x:c>
      <x:c r="F46" s="144" t="n">
        <x:f>F35-(F23+F26-F28-F34)</x:f>
        <x:v>0</x:v>
      </x:c>
      <x:c r="G46" s="44" t="n">
        <x:f>G35-(G23+G26-G28-G34)</x:f>
        <x:v>0</x:v>
      </x:c>
      <x:c r="H46" s="44" t="n">
        <x:f>H35-(H23+H26-H28-H34)</x:f>
        <x:v>0</x:v>
      </x:c>
      <x:c r="I46" s="44" t="n">
        <x:f>I35-(I23+I26-I28-I34)</x:f>
        <x:v>0</x:v>
      </x:c>
      <x:c r="J46" s="44" t="n">
        <x:f>J35-(J23+J26-J28-J34)</x:f>
        <x:v>0</x:v>
      </x:c>
      <x:c r="K46" s="44" t="n">
        <x:f>K35-(K23+K26-K28-K34)</x:f>
        <x:v>0</x:v>
      </x:c>
      <x:c r="L46" s="44" t="n">
        <x:f>L35-(L23+L26-L28-L34)</x:f>
        <x:v>0</x:v>
      </x:c>
      <x:c r="M46" s="44" t="n">
        <x:f>M35-(M23+M26-M28-M34)</x:f>
        <x:v>0</x:v>
      </x:c>
      <x:c r="N46" s="44" t="n">
        <x:f>N35-(N23+N26-N28-N34)</x:f>
        <x:v>0</x:v>
      </x:c>
      <x:c r="O46" s="44" t="n">
        <x:f>O35-(O23+O26-O28-O34)</x:f>
        <x:v>0</x:v>
      </x:c>
      <x:c r="P46" s="12"/>
    </x:row>
    <x:row r="47">
      <x:c r="A47" s="12" t="str">
        <x:v>Lease-Adjusted UFCF Check</x:v>
      </x:c>
      <x:c r="B47" s="44" t="n">
        <x:f>B39-(B23+B26-B37-B34)</x:f>
        <x:v>0</x:v>
      </x:c>
      <x:c r="C47" s="44" t="n">
        <x:f>C39-(C23+C26-C37-C34)</x:f>
        <x:v>0</x:v>
      </x:c>
      <x:c r="D47" s="44" t="n">
        <x:f>D39-(D23+D26-D37-D34)</x:f>
        <x:v>0</x:v>
      </x:c>
      <x:c r="E47" s="44" t="n">
        <x:f>E39-(E23+E26-E37-E34)</x:f>
        <x:v>0</x:v>
      </x:c>
      <x:c r="F47" s="148" t="n">
        <x:f>F39-(F23+F26-F37-F34)</x:f>
        <x:v>0</x:v>
      </x:c>
      <x:c r="G47" s="44" t="n">
        <x:f>G39-(G23+G26-G37-G34)</x:f>
        <x:v>0</x:v>
      </x:c>
      <x:c r="H47" s="44" t="n">
        <x:f>H39-(H23+H26-H37-H34)</x:f>
        <x:v>0</x:v>
      </x:c>
      <x:c r="I47" s="44" t="n">
        <x:f>I39-(I23+I26-I37-I34)</x:f>
        <x:v>0</x:v>
      </x:c>
      <x:c r="J47" s="44" t="n">
        <x:f>J39-(J23+J26-J37-J34)</x:f>
        <x:v>0</x:v>
      </x:c>
      <x:c r="K47" s="44" t="n">
        <x:f>K39-(K23+K26-K37-K34)</x:f>
        <x:v>0</x:v>
      </x:c>
      <x:c r="L47" s="44" t="n">
        <x:f>L39-(L23+L26-L37-L34)</x:f>
        <x:v>0</x:v>
      </x:c>
      <x:c r="M47" s="44" t="n">
        <x:f>M39-(M23+M26-M37-M34)</x:f>
        <x:v>0</x:v>
      </x:c>
      <x:c r="N47" s="44" t="n">
        <x:f>N39-(N23+N26-N37-N34)</x:f>
        <x:v>0</x:v>
      </x:c>
      <x:c r="O47" s="44" t="n">
        <x:f>O39-(O23+O26-O37-O34)</x:f>
        <x:v>0</x:v>
      </x:c>
      <x:c r="P47" s="12"/>
    </x:row>
    <x:row r="48">
      <x:c r="A48" s="12"/>
      <x:c r="B48" s="12"/>
      <x:c r="C48" s="12"/>
      <x:c r="D48" s="12"/>
      <x:c r="E48" s="12"/>
      <x:c r="F48" s="12"/>
      <x:c r="G48" s="12"/>
      <x:c r="H48" s="12"/>
      <x:c r="I48" s="12"/>
      <x:c r="J48" s="12"/>
      <x:c r="K48" s="12"/>
      <x:c r="L48" s="12"/>
      <x:c r="M48" s="12"/>
      <x:c r="N48" s="12"/>
      <x:c r="O48" s="12"/>
      <x:c r="P48" s="12"/>
    </x:row>
    <x:row r="49" ht="20" customHeight="1">
      <x:c r="A49" s="27" t="str">
        <x:v>Operating Working Capital Support</x:v>
      </x:c>
      <x:c r="B49" s="27"/>
      <x:c r="C49" s="27"/>
      <x:c r="D49" s="27"/>
      <x:c r="E49" s="27"/>
      <x:c r="F49" s="27"/>
      <x:c r="G49" s="27"/>
      <x:c r="H49" s="27"/>
      <x:c r="I49" s="27"/>
      <x:c r="J49" s="27"/>
      <x:c r="K49" s="27"/>
      <x:c r="L49" s="27"/>
      <x:c r="M49" s="27"/>
      <x:c r="N49" s="27"/>
      <x:c r="O49" s="27"/>
      <x:c r="P49" s="12"/>
    </x:row>
    <x:row r="50">
      <x:c r="A50" s="33" t="str">
        <x:v>Metric</x:v>
      </x:c>
      <x:c r="B50" s="33" t="str">
        <x:v>FY2023A</x:v>
      </x:c>
      <x:c r="C50" s="33" t="str">
        <x:v>FY2024A</x:v>
      </x:c>
      <x:c r="D50" s="33" t="str">
        <x:v>FY2025A</x:v>
      </x:c>
      <x:c r="E50" s="33" t="str">
        <x:v>FY2026A</x:v>
      </x:c>
      <x:c r="F50" s="33"/>
      <x:c r="G50" s="33"/>
      <x:c r="H50" s="33"/>
      <x:c r="I50" s="33"/>
      <x:c r="J50" s="33"/>
      <x:c r="K50" s="33"/>
      <x:c r="L50" s="33"/>
      <x:c r="M50" s="33"/>
      <x:c r="N50" s="33"/>
      <x:c r="O50" s="33"/>
      <x:c r="P50" s="12"/>
    </x:row>
    <x:row r="51">
      <x:c r="A51" s="12" t="str">
        <x:v>Accounts Receivable</x:v>
      </x:c>
      <x:c r="B51" s="51" t="n">
        <x:v>48688</x:v>
      </x:c>
      <x:c r="C51" s="51" t="n">
        <x:v>56924</x:v>
      </x:c>
      <x:c r="D51" s="51" t="n">
        <x:v>69905</x:v>
      </x:c>
      <x:c r="E51" s="51" t="n">
        <x:v>80876</x:v>
      </x:c>
      <x:c r="F51" s="44"/>
      <x:c r="G51" s="44"/>
      <x:c r="H51" s="44"/>
      <x:c r="I51" s="44"/>
      <x:c r="J51" s="44"/>
      <x:c r="K51" s="44"/>
      <x:c r="L51" s="44"/>
      <x:c r="M51" s="44"/>
      <x:c r="N51" s="44"/>
      <x:c r="O51" s="44"/>
      <x:c r="P51" s="12"/>
    </x:row>
    <x:row r="52">
      <x:c r="A52" s="12" t="str">
        <x:v>Inventories</x:v>
      </x:c>
      <x:c r="B52" s="51" t="n">
        <x:v>2500</x:v>
      </x:c>
      <x:c r="C52" s="51" t="n">
        <x:v>1246</x:v>
      </x:c>
      <x:c r="D52" s="51" t="n">
        <x:v>938</x:v>
      </x:c>
      <x:c r="E52" s="51" t="n">
        <x:v>1397</x:v>
      </x:c>
      <x:c r="F52" s="44"/>
      <x:c r="G52" s="44"/>
      <x:c r="H52" s="44"/>
      <x:c r="I52" s="44"/>
      <x:c r="J52" s="44"/>
      <x:c r="K52" s="44"/>
      <x:c r="L52" s="44"/>
      <x:c r="M52" s="44"/>
      <x:c r="N52" s="44"/>
      <x:c r="O52" s="44"/>
      <x:c r="P52" s="12"/>
    </x:row>
    <x:row r="53">
      <x:c r="A53" s="12" t="str">
        <x:v>Other Current Assets</x:v>
      </x:c>
      <x:c r="B53" s="51" t="n">
        <x:v>21807</x:v>
      </x:c>
      <x:c r="C53" s="51" t="n">
        <x:v>26021</x:v>
      </x:c>
      <x:c r="D53" s="51" t="n">
        <x:v>25723</x:v>
      </x:c>
      <x:c r="E53" s="51" t="n">
        <x:v>48594</x:v>
      </x:c>
      <x:c r="F53" s="44"/>
      <x:c r="G53" s="44"/>
      <x:c r="H53" s="44"/>
      <x:c r="I53" s="44"/>
      <x:c r="J53" s="44"/>
      <x:c r="K53" s="44"/>
      <x:c r="L53" s="44"/>
      <x:c r="M53" s="44"/>
      <x:c r="N53" s="44"/>
      <x:c r="O53" s="44"/>
      <x:c r="P53" s="12"/>
    </x:row>
    <x:row r="54">
      <x:c r="A54" s="12" t="str">
        <x:v>Accounts Payable</x:v>
      </x:c>
      <x:c r="B54" s="51" t="n">
        <x:v>18095</x:v>
      </x:c>
      <x:c r="C54" s="51" t="n">
        <x:v>21996</x:v>
      </x:c>
      <x:c r="D54" s="51" t="n">
        <x:v>27724</x:v>
      </x:c>
      <x:c r="E54" s="51" t="n">
        <x:v>42416</x:v>
      </x:c>
      <x:c r="F54" s="44"/>
      <x:c r="G54" s="44"/>
      <x:c r="H54" s="44"/>
      <x:c r="I54" s="44"/>
      <x:c r="J54" s="44"/>
      <x:c r="K54" s="44"/>
      <x:c r="L54" s="44"/>
      <x:c r="M54" s="44"/>
      <x:c r="N54" s="44"/>
      <x:c r="O54" s="44"/>
      <x:c r="P54" s="12"/>
    </x:row>
    <x:row r="55">
      <x:c r="A55" s="12" t="str">
        <x:v>Accrued Compensation</x:v>
      </x:c>
      <x:c r="B55" s="51" t="n">
        <x:v>11009</x:v>
      </x:c>
      <x:c r="C55" s="51" t="n">
        <x:v>12564</x:v>
      </x:c>
      <x:c r="D55" s="51" t="n">
        <x:v>13709</x:v>
      </x:c>
      <x:c r="E55" s="51" t="n">
        <x:v>14945</x:v>
      </x:c>
      <x:c r="F55" s="44"/>
      <x:c r="G55" s="44"/>
      <x:c r="H55" s="44"/>
      <x:c r="I55" s="44"/>
      <x:c r="J55" s="44"/>
      <x:c r="K55" s="44"/>
      <x:c r="L55" s="44"/>
      <x:c r="M55" s="44"/>
      <x:c r="N55" s="44"/>
      <x:c r="O55" s="44"/>
      <x:c r="P55" s="12"/>
    </x:row>
    <x:row r="56">
      <x:c r="A56" s="12" t="str">
        <x:v>Short-Term Unearned Revenue</x:v>
      </x:c>
      <x:c r="B56" s="51" t="n">
        <x:v>50901</x:v>
      </x:c>
      <x:c r="C56" s="51" t="n">
        <x:v>57582</x:v>
      </x:c>
      <x:c r="D56" s="51" t="n">
        <x:v>64555</x:v>
      </x:c>
      <x:c r="E56" s="51" t="n">
        <x:v>72965</x:v>
      </x:c>
      <x:c r="F56" s="44"/>
      <x:c r="G56" s="44"/>
      <x:c r="H56" s="44"/>
      <x:c r="I56" s="44"/>
      <x:c r="J56" s="44"/>
      <x:c r="K56" s="44"/>
      <x:c r="L56" s="44"/>
      <x:c r="M56" s="44"/>
      <x:c r="N56" s="44"/>
      <x:c r="O56" s="44"/>
      <x:c r="P56" s="12"/>
    </x:row>
    <x:row r="57">
      <x:c r="A57" s="12" t="str">
        <x:v>Other Current Liabilities</x:v>
      </x:c>
      <x:c r="B57" s="51" t="n">
        <x:v>14745</x:v>
      </x:c>
      <x:c r="C57" s="51" t="n">
        <x:v>19185</x:v>
      </x:c>
      <x:c r="D57" s="51" t="n">
        <x:v>25020</x:v>
      </x:c>
      <x:c r="E57" s="51" t="n">
        <x:v>26738</x:v>
      </x:c>
      <x:c r="F57" s="44"/>
      <x:c r="G57" s="44"/>
      <x:c r="H57" s="44"/>
      <x:c r="I57" s="44"/>
      <x:c r="J57" s="44"/>
      <x:c r="K57" s="44"/>
      <x:c r="L57" s="44"/>
      <x:c r="M57" s="44"/>
      <x:c r="N57" s="44"/>
      <x:c r="O57" s="44"/>
      <x:c r="P57" s="12"/>
    </x:row>
    <x:row r="58">
      <x:c r="A58" s="90" t="str">
        <x:v>Ending Operating NWC</x:v>
      </x:c>
      <x:c r="B58" s="91" t="n">
        <x:f>SUM(B51:B53)-SUM(B54:B57)</x:f>
        <x:v>-21755</x:v>
      </x:c>
      <x:c r="C58" s="91" t="n">
        <x:f>SUM(C51:C53)-SUM(C54:C57)</x:f>
        <x:v>-27136</x:v>
      </x:c>
      <x:c r="D58" s="91" t="n">
        <x:v>-34442</x:v>
      </x:c>
      <x:c r="E58" s="91" t="n">
        <x:v>-26197</x:v>
      </x:c>
      <x:c r="F58" s="91"/>
      <x:c r="G58" s="91"/>
      <x:c r="H58" s="91"/>
      <x:c r="I58" s="91"/>
      <x:c r="J58" s="91"/>
      <x:c r="K58" s="91"/>
      <x:c r="L58" s="91"/>
      <x:c r="M58" s="91"/>
      <x:c r="N58" s="91"/>
      <x:c r="O58" s="91"/>
      <x:c r="P58" s="12"/>
    </x:row>
    <x:row r="59">
      <x:c r="A59" s="12"/>
      <x:c r="B59" s="12"/>
      <x:c r="C59" s="12"/>
      <x:c r="D59" s="12"/>
      <x:c r="E59" s="12"/>
      <x:c r="F59" s="12"/>
      <x:c r="G59" s="12"/>
      <x:c r="H59" s="12"/>
      <x:c r="I59" s="12"/>
      <x:c r="J59" s="12"/>
      <x:c r="K59" s="12"/>
      <x:c r="L59" s="12"/>
      <x:c r="M59" s="12"/>
      <x:c r="N59" s="12"/>
      <x:c r="O59" s="12"/>
      <x:c r="P59" s="12"/>
    </x:row>
    <x:row r="60" ht="20" customHeight="1">
      <x:c r="A60" s="27" t="str">
        <x:v>Historical Change in Operating NWC Support</x:v>
      </x:c>
      <x:c r="B60" s="27"/>
      <x:c r="C60" s="27"/>
      <x:c r="D60" s="27"/>
      <x:c r="E60" s="27"/>
      <x:c r="F60" s="27"/>
      <x:c r="G60" s="27"/>
      <x:c r="H60" s="27"/>
      <x:c r="I60" s="27"/>
      <x:c r="J60" s="27"/>
      <x:c r="K60" s="27"/>
      <x:c r="L60" s="27"/>
      <x:c r="M60" s="27"/>
      <x:c r="N60" s="27"/>
      <x:c r="O60" s="27"/>
      <x:c r="P60" s="12"/>
    </x:row>
    <x:row r="61">
      <x:c r="A61" s="12" t="str">
        <x:v>Accounts Receivable</x:v>
      </x:c>
      <x:c r="B61" s="51" t="n">
        <x:v>-4087</x:v>
      </x:c>
      <x:c r="C61" s="51" t="n">
        <x:v>-7191</x:v>
      </x:c>
      <x:c r="D61" s="51" t="n">
        <x:v>-10581</x:v>
      </x:c>
      <x:c r="E61" s="51" t="n">
        <x:v>-12737</x:v>
      </x:c>
      <x:c r="F61" s="44"/>
      <x:c r="G61" s="44"/>
      <x:c r="H61" s="44"/>
      <x:c r="I61" s="44"/>
      <x:c r="J61" s="44"/>
      <x:c r="K61" s="44"/>
      <x:c r="L61" s="44"/>
      <x:c r="M61" s="44"/>
      <x:c r="N61" s="44"/>
      <x:c r="O61" s="44"/>
      <x:c r="P61" s="12"/>
    </x:row>
    <x:row r="62">
      <x:c r="A62" s="12" t="str">
        <x:v>Inventories</x:v>
      </x:c>
      <x:c r="B62" s="51" t="n">
        <x:v>1242</x:v>
      </x:c>
      <x:c r="C62" s="51" t="n">
        <x:v>1284</x:v>
      </x:c>
      <x:c r="D62" s="51" t="n">
        <x:v>309</x:v>
      </x:c>
      <x:c r="E62" s="51" t="n">
        <x:v>-461</x:v>
      </x:c>
      <x:c r="F62" s="44"/>
      <x:c r="G62" s="44"/>
      <x:c r="H62" s="44"/>
      <x:c r="I62" s="44"/>
      <x:c r="J62" s="44"/>
      <x:c r="K62" s="44"/>
      <x:c r="L62" s="44"/>
      <x:c r="M62" s="44"/>
      <x:c r="N62" s="44"/>
      <x:c r="O62" s="44"/>
      <x:c r="P62" s="12"/>
    </x:row>
    <x:row r="63">
      <x:c r="A63" s="12" t="str">
        <x:v>Other Current Assets</x:v>
      </x:c>
      <x:c r="B63" s="51" t="n">
        <x:v>-1991</x:v>
      </x:c>
      <x:c r="C63" s="51" t="n">
        <x:v>-1648</x:v>
      </x:c>
      <x:c r="D63" s="51" t="n">
        <x:v>-3044</x:v>
      </x:c>
      <x:c r="E63" s="51" t="n">
        <x:v>-2627</x:v>
      </x:c>
      <x:c r="F63" s="44"/>
      <x:c r="G63" s="44"/>
      <x:c r="H63" s="44"/>
      <x:c r="I63" s="44"/>
      <x:c r="J63" s="44"/>
      <x:c r="K63" s="44"/>
      <x:c r="L63" s="44"/>
      <x:c r="M63" s="44"/>
      <x:c r="N63" s="44"/>
      <x:c r="O63" s="44"/>
      <x:c r="P63" s="12"/>
    </x:row>
    <x:row r="64">
      <x:c r="A64" s="12" t="str">
        <x:v>Accounts Payable</x:v>
      </x:c>
      <x:c r="B64" s="51" t="n">
        <x:v>-2721</x:v>
      </x:c>
      <x:c r="C64" s="51" t="n">
        <x:v>3545</x:v>
      </x:c>
      <x:c r="D64" s="51" t="n">
        <x:v>569</x:v>
      </x:c>
      <x:c r="E64" s="51" t="n">
        <x:v>5268</x:v>
      </x:c>
      <x:c r="F64" s="44"/>
      <x:c r="G64" s="44"/>
      <x:c r="H64" s="44"/>
      <x:c r="I64" s="44"/>
      <x:c r="J64" s="44"/>
      <x:c r="K64" s="44"/>
      <x:c r="L64" s="44"/>
      <x:c r="M64" s="44"/>
      <x:c r="N64" s="44"/>
      <x:c r="O64" s="44"/>
      <x:c r="P64" s="12"/>
    </x:row>
    <x:row r="65">
      <x:c r="A65" s="12" t="str">
        <x:v>Unearned Revenue</x:v>
      </x:c>
      <x:c r="B65" s="51" t="n">
        <x:v>5535</x:v>
      </x:c>
      <x:c r="C65" s="51" t="n">
        <x:v>5348</x:v>
      </x:c>
      <x:c r="D65" s="51" t="n">
        <x:v>5438</x:v>
      </x:c>
      <x:c r="E65" s="51" t="n">
        <x:v>9361</x:v>
      </x:c>
      <x:c r="F65" s="44"/>
      <x:c r="G65" s="44"/>
      <x:c r="H65" s="44"/>
      <x:c r="I65" s="44"/>
      <x:c r="J65" s="44"/>
      <x:c r="K65" s="44"/>
      <x:c r="L65" s="44"/>
      <x:c r="M65" s="44"/>
      <x:c r="N65" s="44"/>
      <x:c r="O65" s="44"/>
      <x:c r="P65" s="12"/>
    </x:row>
    <x:row r="66">
      <x:c r="A66" s="12" t="str">
        <x:v>Other Current Liabilities</x:v>
      </x:c>
      <x:c r="B66" s="51" t="n">
        <x:v>2272</x:v>
      </x:c>
      <x:c r="C66" s="51" t="n">
        <x:v>4867</x:v>
      </x:c>
      <x:c r="D66" s="51" t="n">
        <x:v>5922</x:v>
      </x:c>
      <x:c r="E66" s="51" t="n">
        <x:v>6847</x:v>
      </x:c>
      <x:c r="F66" s="44"/>
      <x:c r="G66" s="44"/>
      <x:c r="H66" s="44"/>
      <x:c r="I66" s="44"/>
      <x:c r="J66" s="44"/>
      <x:c r="K66" s="44"/>
      <x:c r="L66" s="44"/>
      <x:c r="M66" s="44"/>
      <x:c r="N66" s="44"/>
      <x:c r="O66" s="44"/>
      <x:c r="P66" s="12"/>
    </x:row>
    <x:row r="67">
      <x:c r="A67" s="90" t="str">
        <x:v>Change in Operating NWC</x:v>
      </x:c>
      <x:c r="B67" s="91" t="n">
        <x:f>-SUM(B61:B66)</x:f>
        <x:v>-250</x:v>
      </x:c>
      <x:c r="C67" s="91" t="n">
        <x:v>-6205</x:v>
      </x:c>
      <x:c r="D67" s="91" t="n">
        <x:v>1387</x:v>
      </x:c>
      <x:c r="E67" s="91" t="n">
        <x:v>-5651</x:v>
      </x:c>
      <x:c r="F67" s="91"/>
      <x:c r="G67" s="91"/>
      <x:c r="H67" s="91"/>
      <x:c r="I67" s="91"/>
      <x:c r="J67" s="91"/>
      <x:c r="K67" s="91"/>
      <x:c r="L67" s="91"/>
      <x:c r="M67" s="91"/>
      <x:c r="N67" s="91"/>
      <x:c r="O67" s="91"/>
      <x:c r="P67" s="12"/>
    </x:row>
    <x:row r="68">
      <x:c r="A68" s="12"/>
      <x:c r="B68" s="12"/>
      <x:c r="C68" s="12"/>
      <x:c r="D68" s="12"/>
      <x:c r="E68" s="12"/>
      <x:c r="F68" s="12"/>
      <x:c r="G68" s="12"/>
      <x:c r="H68" s="12"/>
      <x:c r="I68" s="12"/>
      <x:c r="J68" s="12"/>
      <x:c r="K68" s="12"/>
      <x:c r="L68" s="12"/>
      <x:c r="M68" s="12"/>
      <x:c r="N68" s="12"/>
      <x:c r="O68" s="12"/>
      <x:c r="P68" s="12"/>
    </x:row>
    <x:row r="69">
      <x:c r="A69" s="12"/>
      <x:c r="B69" s="12"/>
      <x:c r="C69" s="12"/>
      <x:c r="D69" s="12"/>
      <x:c r="E69" s="12"/>
      <x:c r="F69" s="12"/>
      <x:c r="G69" s="12"/>
      <x:c r="H69" s="12"/>
      <x:c r="I69" s="12"/>
      <x:c r="J69" s="12"/>
      <x:c r="K69" s="12"/>
      <x:c r="L69" s="12"/>
      <x:c r="M69" s="12"/>
      <x:c r="N69" s="12"/>
      <x:c r="O69" s="12"/>
      <x:c r="P69" s="12"/>
    </x:row>
    <x:row r="70">
      <x:c r="A70" s="98" t="str">
        <x:v>UFCF methodology: Cash-based UFCF equals NOPAT plus depreciation, amortization, and other noncash charges, less cash CapEx and the change in operating NWC. Lease-adjusted UFCF substitutes total CapEx, including finance-lease additions, for cash CapEx. Stock-based compensation is treated as an economic employee cost and is not added back.</x:v>
      </x:c>
      <x:c r="B70" s="98"/>
      <x:c r="C70" s="98"/>
      <x:c r="D70" s="98"/>
      <x:c r="E70" s="98"/>
      <x:c r="F70" s="98"/>
      <x:c r="G70" s="98"/>
      <x:c r="H70" s="98"/>
      <x:c r="I70" s="98"/>
      <x:c r="J70" s="98"/>
      <x:c r="K70" s="98"/>
      <x:c r="L70" s="98"/>
      <x:c r="M70" s="98"/>
      <x:c r="N70" s="98"/>
      <x:c r="O70" s="98"/>
      <x:c r="P70" s="12"/>
    </x:row>
    <x:row r="72" ht="20" customHeight="1">
      <x:c r="A72" s="66" t="str">
        <x:v>Terminal Economics &amp; Reinvestment Consistency</x:v>
      </x:c>
      <x:c r="B72" s="66"/>
      <x:c r="C72" s="66"/>
      <x:c r="D72" s="66"/>
      <x:c r="E72" s="66"/>
      <x:c r="F72" s="66"/>
      <x:c r="G72" s="66"/>
      <x:c r="H72" s="66"/>
      <x:c r="I72" s="66"/>
      <x:c r="J72" s="66"/>
      <x:c r="K72" s="66"/>
      <x:c r="L72" s="66"/>
      <x:c r="M72" s="66"/>
      <x:c r="N72" s="66"/>
      <x:c r="O72" s="66"/>
    </x:row>
    <x:row r="73">
      <x:c r="A73" t="str">
        <x:v>FY2036E NOPAT Margin</x:v>
      </x:c>
      <x:c r="B73" s="156" t="n">
        <x:f>O23/O10</x:f>
        <x:v>0.3817331265644307</x:v>
      </x:c>
    </x:row>
    <x:row r="74">
      <x:c r="A74" t="str">
        <x:v>FY2036E Net Reinvestment</x:v>
      </x:c>
      <x:c r="B74" s="158" t="n">
        <x:f>O37-O26+O34</x:f>
        <x:v>42270.19962724058</x:v>
      </x:c>
    </x:row>
    <x:row r="75">
      <x:c r="A75" t="str">
        <x:v>FY2036E Reinvestment Rate</x:v>
      </x:c>
      <x:c r="B75" s="156" t="n">
        <x:f>B74/O23</x:f>
        <x:v>0.13222424909430514</x:v>
      </x:c>
    </x:row>
    <x:row r="76">
      <x:c r="A76" t="str">
        <x:v>Implied Terminal Incremental ROIC</x:v>
      </x:c>
      <x:c r="B76" s="156" t="n">
        <x:f>'00_Assumptions'!B48/B75</x:f>
        <x:v>0.22688727828284633</x:v>
      </x:c>
    </x:row>
    <x:row r="77">
      <x:c r="A77" t="str">
        <x:v>Terminal ROIC &gt; WACC Check</x:v>
      </x:c>
      <x:c r="B77" t="str">
        <x:f>IF(B76&gt;'00_Assumptions'!B46,"PASS","CHECK")</x:f>
        <x:v>PASS</x:v>
      </x:c>
    </x:row>
  </x:sheetData>
  <x:mergeCells>
    <x:mergeCell ref="A70:O70"/>
    <x:mergeCell ref="A1:O1"/>
    <x:mergeCell ref="A2:O2"/>
    <x:mergeCell ref="A6:O6"/>
    <x:mergeCell ref="A13:O13"/>
    <x:mergeCell ref="A21:O21"/>
    <x:mergeCell ref="A25:O25"/>
    <x:mergeCell ref="A42:O42"/>
    <x:mergeCell ref="A49:O49"/>
    <x:mergeCell ref="A60:O60"/>
    <x:mergeCell ref="A72:O72"/>
  </x:mergeCells>
  <x:conditionalFormatting sqref="B77:B77">
    <x:cfRule type="expression" dxfId="4" priority="1">
      <x:formula>B77="PASS"</x:formula>
    </x:cfRule>
    <x:cfRule type="expression" dxfId="5" priority="2">
      <x:formula>OR(B77="FAIL",B77="CHECK")</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47"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3" hidden="0" customWidth="1"/>
    <x:col min="13" max="13" width="3" hidden="0" customWidth="1"/>
  </x:cols>
  <x:sheetData>
    <x:row r="1" ht="28" customHeight="1">
      <x:c r="A1" s="16" t="str">
        <x:v>Microsoft Discounted Cash Flow Valuation</x:v>
      </x:c>
      <x:c r="B1" s="16"/>
      <x:c r="C1" s="16"/>
      <x:c r="D1" s="16"/>
      <x:c r="E1" s="16"/>
      <x:c r="F1" s="16"/>
      <x:c r="G1" s="16"/>
      <x:c r="H1" s="16"/>
      <x:c r="I1" s="16"/>
      <x:c r="J1" s="16"/>
      <x:c r="K1" s="16"/>
      <x:c r="L1" s="12"/>
      <x:c r="M1" s="12"/>
    </x:row>
    <x:row r="2" ht="20" customHeight="1">
      <x:c r="A2" s="22" t="str">
        <x:v>USD in millions, except per-share amounts and percentages</x:v>
      </x:c>
      <x:c r="B2" s="22"/>
      <x:c r="C2" s="22"/>
      <x:c r="D2" s="22"/>
      <x:c r="E2" s="22"/>
      <x:c r="F2" s="22"/>
      <x:c r="G2" s="22"/>
      <x:c r="H2" s="22"/>
      <x:c r="I2" s="22"/>
      <x:c r="J2" s="22"/>
      <x:c r="K2" s="22"/>
      <x:c r="L2" s="12"/>
      <x:c r="M2" s="12"/>
    </x:row>
    <x:row r="3">
      <x:c r="A3" s="12"/>
      <x:c r="B3" s="12"/>
      <x:c r="C3" s="12"/>
      <x:c r="D3" s="12"/>
      <x:c r="E3" s="12"/>
      <x:c r="F3" s="12"/>
      <x:c r="G3" s="12"/>
      <x:c r="H3" s="12"/>
      <x:c r="I3" s="12"/>
      <x:c r="J3" s="12"/>
      <x:c r="K3" s="12"/>
      <x:c r="L3" s="12"/>
      <x:c r="M3" s="12"/>
    </x:row>
    <x:row r="4">
      <x:c r="A4" s="33" t="str">
        <x:v>Metric</x:v>
      </x:c>
      <x:c r="B4" s="136" t="str">
        <x:v>FY2027E</x:v>
      </x:c>
      <x:c r="C4" s="136" t="str">
        <x:v>FY2028E</x:v>
      </x:c>
      <x:c r="D4" s="136" t="str">
        <x:v>FY2029E</x:v>
      </x:c>
      <x:c r="E4" s="136" t="str">
        <x:v>FY2030E</x:v>
      </x:c>
      <x:c r="F4" s="136" t="str">
        <x:v>FY2031E</x:v>
      </x:c>
      <x:c r="G4" s="136" t="str">
        <x:v>FY2032E</x:v>
      </x:c>
      <x:c r="H4" s="136" t="str">
        <x:v>FY2033E</x:v>
      </x:c>
      <x:c r="I4" s="136" t="str">
        <x:v>FY2034E</x:v>
      </x:c>
      <x:c r="J4" s="136" t="str">
        <x:v>FY2035E</x:v>
      </x:c>
      <x:c r="K4" s="136" t="str">
        <x:v>FY2036E</x:v>
      </x:c>
      <x:c r="L4" s="12"/>
      <x:c r="M4" s="12"/>
    </x:row>
    <x:row r="5">
      <x:c r="A5" s="12" t="str">
        <x:v>Fiscal Year-End Date</x:v>
      </x:c>
      <x:c r="B5" s="160" t="n">
        <x:f>DATE(2027,6,30)</x:f>
        <x:v>46568</x:v>
      </x:c>
      <x:c r="C5" s="160" t="n">
        <x:f>EDATE(B5,12)</x:f>
        <x:v>46934</x:v>
      </x:c>
      <x:c r="D5" s="160" t="n">
        <x:f>EDATE(C5,12)</x:f>
        <x:v>47299</x:v>
      </x:c>
      <x:c r="E5" s="160" t="n">
        <x:f>EDATE(D5,12)</x:f>
        <x:v>47664</x:v>
      </x:c>
      <x:c r="F5" s="160" t="n">
        <x:f>EDATE(E5,12)</x:f>
        <x:v>48029</x:v>
      </x:c>
      <x:c r="G5" s="160" t="n">
        <x:f>EDATE(F5,12)</x:f>
        <x:v>48395</x:v>
      </x:c>
      <x:c r="H5" s="160" t="n">
        <x:f>EDATE(G5,12)</x:f>
        <x:v>48760</x:v>
      </x:c>
      <x:c r="I5" s="160" t="n">
        <x:f>EDATE(H5,12)</x:f>
        <x:v>49125</x:v>
      </x:c>
      <x:c r="J5" s="160" t="n">
        <x:f>EDATE(I5,12)</x:f>
        <x:v>49490</x:v>
      </x:c>
      <x:c r="K5" s="160" t="n">
        <x:f>EDATE(J5,12)</x:f>
        <x:v>49856</x:v>
      </x:c>
      <x:c r="L5" s="12"/>
      <x:c r="M5" s="12"/>
    </x:row>
    <x:row r="6">
      <x:c r="A6" s="12" t="str">
        <x:v>Midpoint Date</x:v>
      </x:c>
      <x:c r="B6" s="160" t="n">
        <x:f>EDATE(B5,-6)</x:f>
        <x:v>46386</x:v>
      </x:c>
      <x:c r="C6" s="160" t="n">
        <x:f>EDATE(C5,-6)</x:f>
        <x:v>46751</x:v>
      </x:c>
      <x:c r="D6" s="160" t="n">
        <x:f>EDATE(D5,-6)</x:f>
        <x:v>47117</x:v>
      </x:c>
      <x:c r="E6" s="160" t="n">
        <x:f>EDATE(E5,-6)</x:f>
        <x:v>47482</x:v>
      </x:c>
      <x:c r="F6" s="160" t="n">
        <x:f>EDATE(F5,-6)</x:f>
        <x:v>47847</x:v>
      </x:c>
      <x:c r="G6" s="160" t="n">
        <x:f>EDATE(G5,-6)</x:f>
        <x:v>48212</x:v>
      </x:c>
      <x:c r="H6" s="160" t="n">
        <x:f>EDATE(H5,-6)</x:f>
        <x:v>48578</x:v>
      </x:c>
      <x:c r="I6" s="160" t="n">
        <x:f>EDATE(I5,-6)</x:f>
        <x:v>48943</x:v>
      </x:c>
      <x:c r="J6" s="160" t="n">
        <x:f>EDATE(J5,-6)</x:f>
        <x:v>49308</x:v>
      </x:c>
      <x:c r="K6" s="160" t="n">
        <x:f>EDATE(K5,-6)</x:f>
        <x:v>49673</x:v>
      </x:c>
      <x:c r="L6" s="12"/>
      <x:c r="M6" s="12"/>
    </x:row>
    <x:row r="7">
      <x:c r="A7" s="12" t="str">
        <x:v>Lease-Adjusted UFCF</x:v>
      </x:c>
      <x:c r="B7" s="44" t="n">
        <x:f>'06_Consolidated_Forecast'!F39</x:f>
        <x:v>29021.99914</x:v>
      </x:c>
      <x:c r="C7" s="44" t="n">
        <x:f>'06_Consolidated_Forecast'!G39</x:f>
        <x:v>50927.303510959995</x:v>
      </x:c>
      <x:c r="D7" s="44" t="n">
        <x:f>'06_Consolidated_Forecast'!H39</x:f>
        <x:v>87338.12344194436</x:v>
      </x:c>
      <x:c r="E7" s="44" t="n">
        <x:f>'06_Consolidated_Forecast'!I39</x:f>
        <x:v>126380.27999314286</x:v>
      </x:c>
      <x:c r="F7" s="44" t="n">
        <x:f>'06_Consolidated_Forecast'!J39</x:f>
        <x:v>155764.19607468805</x:v>
      </x:c>
      <x:c r="G7" s="44" t="n">
        <x:f>'06_Consolidated_Forecast'!K39</x:f>
        <x:v>184643.92947006074</x:v>
      </x:c>
      <x:c r="H7" s="44" t="n">
        <x:f>'06_Consolidated_Forecast'!L39</x:f>
        <x:v>212234.30963489186</x:v>
      </x:c>
      <x:c r="I7" s="44" t="n">
        <x:f>'06_Consolidated_Forecast'!M39</x:f>
        <x:v>236622.66411705973</x:v>
      </x:c>
      <x:c r="J7" s="44" t="n">
        <x:f>'06_Consolidated_Forecast'!N39</x:f>
        <x:v>257109.33798650684</x:v>
      </x:c>
      <x:c r="K7" s="44" t="n">
        <x:f>'06_Consolidated_Forecast'!O39</x:f>
        <x:v>277415.48523599945</x:v>
      </x:c>
      <x:c r="L7" s="12"/>
      <x:c r="M7" s="12"/>
    </x:row>
    <x:row r="8">
      <x:c r="A8" s="12" t="str">
        <x:v>Discount Period</x:v>
      </x:c>
      <x:c r="B8" s="162" t="n">
        <x:f>YEARFRAC('00_Assumptions'!$B$29,B6,1)</x:f>
        <x:v>0.4</x:v>
      </x:c>
      <x:c r="C8" s="162" t="n">
        <x:f>YEARFRAC('00_Assumptions'!$B$29,C6,1)</x:f>
        <x:v>1.4</x:v>
      </x:c>
      <x:c r="D8" s="162" t="n">
        <x:f>YEARFRAC('00_Assumptions'!$B$29,D6,1)</x:f>
        <x:v>2.4005474452554747</x:v>
      </x:c>
      <x:c r="E8" s="162" t="n">
        <x:f>YEARFRAC('00_Assumptions'!$B$29,E6,1)</x:f>
        <x:v>3.40041067761807</x:v>
      </x:c>
      <x:c r="F8" s="162" t="n">
        <x:f>YEARFRAC('00_Assumptions'!$B$29,F6,1)</x:f>
        <x:v>4.400328587075575</x:v>
      </x:c>
      <x:c r="G8" s="162" t="n">
        <x:f>YEARFRAC('00_Assumptions'!$B$29,G6,1)</x:f>
        <x:v>5.400273847558192</x:v>
      </x:c>
      <x:c r="H8" s="162" t="n">
        <x:f>YEARFRAC('00_Assumptions'!$B$29,H6,1)</x:f>
        <x:v>6.400469299960892</x:v>
      </x:c>
      <x:c r="I8" s="162" t="n">
        <x:f>YEARFRAC('00_Assumptions'!$B$29,I6,1)</x:f>
        <x:v>7.40041067761807</x:v>
      </x:c>
      <x:c r="J8" s="162" t="n">
        <x:f>YEARFRAC('00_Assumptions'!$B$29,J6,1)</x:f>
        <x:v>8.400365074536051</x:v>
      </x:c>
      <x:c r="K8" s="162" t="n">
        <x:f>YEARFRAC('00_Assumptions'!$B$29,K6,1)</x:f>
        <x:v>9.400328587075576</x:v>
      </x:c>
      <x:c r="L8" s="12"/>
      <x:c r="M8" s="12"/>
    </x:row>
    <x:row r="9">
      <x:c r="A9" s="12" t="str">
        <x:v>Discount Factor</x:v>
      </x:c>
      <x:c r="B9" s="38" t="n">
        <x:f>1/(1+'00_Assumptions'!$B$46)^B8</x:f>
        <x:v>0.9644495432610442</x:v>
      </x:c>
      <x:c r="C9" s="38" t="n">
        <x:f>1/(1+'00_Assumptions'!$B$46)^C8</x:f>
        <x:v>0.8810048335696314</x:v>
      </x:c>
      <x:c r="D9" s="38" t="n">
        <x:f>1/(1+'00_Assumptions'!$B$46)^D8</x:f>
        <x:v>0.8047399380736955</x:v>
      </x:c>
      <x:c r="E9" s="38" t="n">
        <x:f>1/(1+'00_Assumptions'!$B$46)^E8</x:f>
        <x:v>0.7351224903904002</x:v>
      </x:c>
      <x:c r="F9" s="38" t="n">
        <x:f>1/(1+'00_Assumptions'!$B$46)^F8</x:f>
        <x:v>0.6715242731325498</x:v>
      </x:c>
      <x:c r="G9" s="38" t="n">
        <x:f>1/(1+'00_Assumptions'!$B$46)^G8</x:f>
        <x:v>0.6134266590427084</x:v>
      </x:c>
      <x:c r="H9" s="38" t="n">
        <x:f>1/(1+'00_Assumptions'!$B$46)^H8</x:f>
        <x:v>0.5603427330243198</x:v>
      </x:c>
      <x:c r="I9" s="38" t="n">
        <x:f>1/(1+'00_Assumptions'!$B$46)^I8</x:f>
        <x:v>0.5118642842380593</x:v>
      </x:c>
      <x:c r="J9" s="38" t="n">
        <x:f>1/(1+'00_Assumptions'!$B$46)^J8</x:f>
        <x:v>0.4675794319274229</x:v>
      </x:c>
      <x:c r="K9" s="38" t="n">
        <x:f>1/(1+'00_Assumptions'!$B$46)^K8</x:f>
        <x:v>0.4271256103284949</x:v>
      </x:c>
      <x:c r="L9" s="12"/>
      <x:c r="M9" s="12"/>
    </x:row>
    <x:row r="10">
      <x:c r="A10" s="12" t="str">
        <x:v>Present Value of UFCF</x:v>
      </x:c>
      <x:c r="B10" s="44" t="n">
        <x:f>B7*B9</x:f>
        <x:v>27990.253815095417</x:v>
      </x:c>
      <x:c r="C10" s="44" t="n">
        <x:f>C7*C9</x:f>
        <x:v>44867.200553823415</x:v>
      </x:c>
      <x:c r="D10" s="44" t="n">
        <x:f>D7*D9</x:f>
        <x:v>70284.47605014309</x:v>
      </x:c>
      <x:c r="E10" s="44" t="n">
        <x:f>E7*E9</x:f>
        <x:v>92904.98616479525</x:v>
      </x:c>
      <x:c r="F10" s="44" t="n">
        <x:f>F7*F9</x:f>
        <x:v>104599.43854913086</x:v>
      </x:c>
      <x:c r="G10" s="44" t="n">
        <x:f>G7*G9</x:f>
        <x:v>113265.50876733685</x:v>
      </x:c>
      <x:c r="H10" s="44" t="n">
        <x:f>H7*H9</x:f>
        <x:v>118923.95310234504</x:v>
      </x:c>
      <x:c r="I10" s="44" t="n">
        <x:f>I7*I9</x:f>
        <x:v>121118.6906027815</x:v>
      </x:c>
      <x:c r="J10" s="44" t="n">
        <x:f>J7*J9</x:f>
        <x:v>120219.03819896665</x:v>
      </x:c>
      <x:c r="K10" s="44" t="n">
        <x:f>K7*K9</x:f>
        <x:v>118491.25844600183</x:v>
      </x:c>
      <x:c r="L10" s="12"/>
      <x:c r="M10" s="12"/>
    </x:row>
    <x:row r="11">
      <x:c r="A11" s="12"/>
      <x:c r="B11" s="12"/>
      <x:c r="C11" s="12"/>
      <x:c r="D11" s="12"/>
      <x:c r="E11" s="12"/>
      <x:c r="F11" s="12"/>
      <x:c r="G11" s="12"/>
      <x:c r="H11" s="12"/>
      <x:c r="I11" s="12"/>
      <x:c r="J11" s="12"/>
      <x:c r="K11" s="12"/>
      <x:c r="L11" s="12"/>
      <x:c r="M11" s="12"/>
    </x:row>
    <x:row r="12">
      <x:c r="A12" s="12"/>
      <x:c r="B12" s="12"/>
      <x:c r="C12" s="12"/>
      <x:c r="D12" s="12"/>
      <x:c r="E12" s="12"/>
      <x:c r="F12" s="12"/>
      <x:c r="G12" s="12"/>
      <x:c r="H12" s="12"/>
      <x:c r="I12" s="12"/>
      <x:c r="J12" s="12"/>
      <x:c r="K12" s="12"/>
      <x:c r="L12" s="12"/>
      <x:c r="M12" s="12"/>
    </x:row>
    <x:row r="13" ht="20" customHeight="1">
      <x:c r="A13" s="27" t="str">
        <x:v>Terminal Value</x:v>
      </x:c>
      <x:c r="B13" s="27"/>
      <x:c r="C13" s="27"/>
      <x:c r="D13" s="27"/>
      <x:c r="E13" s="27"/>
      <x:c r="F13" s="27"/>
      <x:c r="G13" s="27"/>
      <x:c r="H13" s="27"/>
      <x:c r="I13" s="27"/>
      <x:c r="J13" s="27"/>
      <x:c r="K13" s="27"/>
      <x:c r="L13" s="12"/>
      <x:c r="M13" s="12"/>
    </x:row>
    <x:row r="14">
      <x:c r="A14" s="12" t="str">
        <x:v>Terminal Growth Rate</x:v>
      </x:c>
      <x:c r="B14" s="128" t="n">
        <x:f>'00_Assumptions'!$B$48</x:f>
        <x:v>0.03</x:v>
      </x:c>
      <x:c r="C14" s="12"/>
      <x:c r="D14" s="12"/>
      <x:c r="E14" s="12"/>
      <x:c r="F14" s="12"/>
      <x:c r="G14" s="12"/>
      <x:c r="H14" s="12"/>
      <x:c r="I14" s="12"/>
      <x:c r="J14" s="12"/>
      <x:c r="K14" s="12"/>
      <x:c r="L14" s="12"/>
      <x:c r="M14" s="12"/>
    </x:row>
    <x:row r="15">
      <x:c r="A15" s="12" t="str">
        <x:v>FY2037E UFCF</x:v>
      </x:c>
      <x:c r="B15" s="44" t="n">
        <x:f>K7*(1+B14)</x:f>
        <x:v>285737.94979307946</x:v>
      </x:c>
      <x:c r="C15" s="12"/>
      <x:c r="D15" s="12"/>
      <x:c r="E15" s="12"/>
      <x:c r="F15" s="12"/>
      <x:c r="G15" s="12"/>
      <x:c r="H15" s="12"/>
      <x:c r="I15" s="12"/>
      <x:c r="J15" s="12"/>
      <x:c r="K15" s="12"/>
      <x:c r="L15" s="12"/>
      <x:c r="M15" s="12"/>
    </x:row>
    <x:row r="16">
      <x:c r="A16" s="12" t="str">
        <x:v>Terminal Value at FY2036E</x:v>
      </x:c>
      <x:c r="B16" s="44" t="n">
        <x:f>B15/('00_Assumptions'!$B$46-B14)</x:f>
        <x:v>4415301.884628711</x:v>
      </x:c>
      <x:c r="C16" s="12"/>
      <x:c r="D16" s="12"/>
      <x:c r="E16" s="12"/>
      <x:c r="F16" s="12"/>
      <x:c r="G16" s="12"/>
      <x:c r="H16" s="12"/>
      <x:c r="I16" s="12"/>
      <x:c r="J16" s="12"/>
      <x:c r="K16" s="12"/>
      <x:c r="L16" s="12"/>
      <x:c r="M16" s="12"/>
    </x:row>
    <x:row r="17">
      <x:c r="A17" s="12" t="str">
        <x:v>Terminal Discount Period</x:v>
      </x:c>
      <x:c r="B17" s="162" t="n">
        <x:f>YEARFRAC('00_Assumptions'!$B$29,K5,1)</x:f>
        <x:v>9.899452463912395</x:v>
      </x:c>
      <x:c r="C17" s="12"/>
      <x:c r="D17" s="12"/>
      <x:c r="E17" s="12"/>
      <x:c r="F17" s="12"/>
      <x:c r="G17" s="12"/>
      <x:c r="H17" s="12"/>
      <x:c r="I17" s="12"/>
      <x:c r="J17" s="12"/>
      <x:c r="K17" s="12"/>
      <x:c r="L17" s="12"/>
      <x:c r="M17" s="12"/>
    </x:row>
    <x:row r="18">
      <x:c r="A18" s="12" t="str">
        <x:v>Terminal Discount Factor</x:v>
      </x:c>
      <x:c r="B18" s="38" t="n">
        <x:f>1/(1+'00_Assumptions'!$B$46)^B17</x:f>
        <x:v>0.40826244748414</x:v>
      </x:c>
      <x:c r="C18" s="12"/>
      <x:c r="D18" s="12"/>
      <x:c r="E18" s="12"/>
      <x:c r="F18" s="12"/>
      <x:c r="G18" s="12"/>
      <x:c r="H18" s="12"/>
      <x:c r="I18" s="12"/>
      <x:c r="J18" s="12"/>
      <x:c r="K18" s="12"/>
      <x:c r="L18" s="12"/>
      <x:c r="M18" s="12"/>
    </x:row>
    <x:row r="19">
      <x:c r="A19" s="12" t="str">
        <x:v>Present Value of Terminal Value</x:v>
      </x:c>
      <x:c r="B19" s="44" t="n">
        <x:f>B16*B18</x:f>
        <x:v>1802601.9537998536</x:v>
      </x:c>
      <x:c r="C19" s="12"/>
      <x:c r="D19" s="12"/>
      <x:c r="E19" s="12"/>
      <x:c r="F19" s="12"/>
      <x:c r="G19" s="12"/>
      <x:c r="H19" s="12"/>
      <x:c r="I19" s="12"/>
      <x:c r="J19" s="12"/>
      <x:c r="K19" s="12"/>
      <x:c r="L19" s="12"/>
      <x:c r="M19" s="12"/>
    </x:row>
    <x:row r="20">
      <x:c r="A20" s="12" t="str">
        <x:v>Present Value of Explicit UFCF</x:v>
      </x:c>
      <x:c r="B20" s="44" t="n">
        <x:f>SUM(B10:K10)</x:f>
        <x:v>932664.8042504198</x:v>
      </x:c>
      <x:c r="C20" s="12"/>
      <x:c r="D20" s="12"/>
      <x:c r="E20" s="12"/>
      <x:c r="F20" s="12"/>
      <x:c r="G20" s="12"/>
      <x:c r="H20" s="12"/>
      <x:c r="I20" s="12"/>
      <x:c r="J20" s="12"/>
      <x:c r="K20" s="12"/>
      <x:c r="L20" s="12"/>
      <x:c r="M20" s="12"/>
    </x:row>
    <x:row r="21">
      <x:c r="A21" s="90" t="str">
        <x:v>Enterprise Value</x:v>
      </x:c>
      <x:c r="B21" s="91" t="n">
        <x:f>B19+B20</x:f>
        <x:v>2735266.758050273</x:v>
      </x:c>
      <x:c r="C21" s="12"/>
      <x:c r="D21" s="12"/>
      <x:c r="E21" s="12"/>
      <x:c r="F21" s="12"/>
      <x:c r="G21" s="12"/>
      <x:c r="H21" s="12"/>
      <x:c r="I21" s="12"/>
      <x:c r="J21" s="12"/>
      <x:c r="K21" s="12"/>
      <x:c r="L21" s="12"/>
      <x:c r="M21" s="12"/>
    </x:row>
    <x:row r="22">
      <x:c r="A22" s="12"/>
      <x:c r="B22" s="12"/>
      <x:c r="C22" s="12"/>
      <x:c r="D22" s="12"/>
      <x:c r="E22" s="12"/>
      <x:c r="F22" s="12"/>
      <x:c r="G22" s="12"/>
      <x:c r="H22" s="12"/>
      <x:c r="I22" s="12"/>
      <x:c r="J22" s="12"/>
      <x:c r="K22" s="12"/>
      <x:c r="L22" s="12"/>
      <x:c r="M22" s="12"/>
    </x:row>
    <x:row r="23">
      <x:c r="A23" s="12"/>
      <x:c r="B23" s="12"/>
      <x:c r="C23" s="12"/>
      <x:c r="D23" s="12"/>
      <x:c r="E23" s="12"/>
      <x:c r="F23" s="12"/>
      <x:c r="G23" s="12"/>
      <x:c r="H23" s="12"/>
      <x:c r="I23" s="12"/>
      <x:c r="J23" s="12"/>
      <x:c r="K23" s="12"/>
      <x:c r="L23" s="12"/>
      <x:c r="M23" s="12"/>
    </x:row>
    <x:row r="24" ht="20" customHeight="1">
      <x:c r="A24" s="27" t="str">
        <x:v>Enterprise Value to Equity Value</x:v>
      </x:c>
      <x:c r="B24" s="27"/>
      <x:c r="C24" s="27"/>
      <x:c r="D24" s="27"/>
      <x:c r="E24" s="27"/>
      <x:c r="F24" s="27"/>
      <x:c r="G24" s="27"/>
      <x:c r="H24" s="27"/>
      <x:c r="I24" s="27"/>
      <x:c r="J24" s="27"/>
      <x:c r="K24" s="27"/>
      <x:c r="L24" s="12"/>
      <x:c r="M24" s="12"/>
    </x:row>
    <x:row r="25">
      <x:c r="A25" s="12" t="str">
        <x:v>Enterprise Value</x:v>
      </x:c>
      <x:c r="B25" s="44" t="n">
        <x:f>B21</x:f>
        <x:v>2735266.758050273</x:v>
      </x:c>
      <x:c r="C25" s="12"/>
      <x:c r="D25" s="12"/>
      <x:c r="E25" s="12"/>
      <x:c r="F25" s="12"/>
      <x:c r="G25" s="12"/>
      <x:c r="H25" s="12"/>
      <x:c r="I25" s="12"/>
      <x:c r="J25" s="12"/>
      <x:c r="K25" s="12"/>
      <x:c r="L25" s="12"/>
      <x:c r="M25" s="12"/>
    </x:row>
    <x:row r="26">
      <x:c r="A26" s="12" t="str">
        <x:v>Cash and Cash Equivalents</x:v>
      </x:c>
      <x:c r="B26" s="62" t="n">
        <x:f>'04_Invested_Capital'!H10</x:f>
        <x:v>20935</x:v>
      </x:c>
      <x:c r="C26" s="12"/>
      <x:c r="D26" s="12"/>
      <x:c r="E26" s="12"/>
      <x:c r="F26" s="12"/>
      <x:c r="G26" s="12"/>
      <x:c r="H26" s="12"/>
      <x:c r="I26" s="12"/>
      <x:c r="J26" s="12"/>
      <x:c r="K26" s="12"/>
      <x:c r="L26" s="12"/>
      <x:c r="M26" s="12"/>
    </x:row>
    <x:row r="27">
      <x:c r="A27" s="12" t="str">
        <x:v>Short-Term Investments</x:v>
      </x:c>
      <x:c r="B27" s="62" t="n">
        <x:f>'04_Invested_Capital'!H11</x:f>
        <x:v>55908</x:v>
      </x:c>
      <x:c r="C27" s="12"/>
      <x:c r="D27" s="12"/>
      <x:c r="E27" s="12"/>
      <x:c r="F27" s="12"/>
      <x:c r="G27" s="12"/>
      <x:c r="H27" s="12"/>
      <x:c r="I27" s="12"/>
      <x:c r="J27" s="12"/>
      <x:c r="K27" s="12"/>
      <x:c r="L27" s="12"/>
      <x:c r="M27" s="12"/>
    </x:row>
    <x:row r="28">
      <x:c r="A28" s="12" t="str">
        <x:v>Equity and Other Investments</x:v>
      </x:c>
      <x:c r="B28" s="62" t="n">
        <x:f>'04_Invested_Capital'!H12</x:f>
        <x:v>36348</x:v>
      </x:c>
      <x:c r="C28" s="12"/>
      <x:c r="D28" s="12"/>
      <x:c r="E28" s="12"/>
      <x:c r="F28" s="12"/>
      <x:c r="G28" s="12"/>
      <x:c r="H28" s="12"/>
      <x:c r="I28" s="12"/>
      <x:c r="J28" s="12"/>
      <x:c r="K28" s="12"/>
      <x:c r="L28" s="12"/>
      <x:c r="M28" s="12"/>
    </x:row>
    <x:row r="29">
      <x:c r="A29" s="12" t="str">
        <x:v>Less: Current Portion of Long-Term Debt</x:v>
      </x:c>
      <x:c r="B29" s="62" t="n">
        <x:f>-'04_Invested_Capital'!H7</x:f>
        <x:v>-9227</x:v>
      </x:c>
      <x:c r="C29" s="12"/>
      <x:c r="D29" s="12"/>
      <x:c r="E29" s="12"/>
      <x:c r="F29" s="12"/>
      <x:c r="G29" s="12"/>
      <x:c r="H29" s="12"/>
      <x:c r="I29" s="12"/>
      <x:c r="J29" s="12"/>
      <x:c r="K29" s="12"/>
      <x:c r="L29" s="12"/>
      <x:c r="M29" s="12"/>
    </x:row>
    <x:row r="30">
      <x:c r="A30" s="12" t="str">
        <x:v>Less: Long-Term Debt</x:v>
      </x:c>
      <x:c r="B30" s="62" t="n">
        <x:f>-'04_Invested_Capital'!H8</x:f>
        <x:v>-31067</x:v>
      </x:c>
      <x:c r="C30" s="12"/>
      <x:c r="D30" s="12"/>
      <x:c r="E30" s="12"/>
      <x:c r="F30" s="12"/>
      <x:c r="G30" s="12"/>
      <x:c r="H30" s="12"/>
      <x:c r="I30" s="12"/>
      <x:c r="J30" s="12"/>
      <x:c r="K30" s="12"/>
      <x:c r="L30" s="12"/>
      <x:c r="M30" s="12"/>
    </x:row>
    <x:row r="31">
      <x:c r="A31" s="12" t="str">
        <x:v>Less: Finance Lease Liabilities</x:v>
      </x:c>
      <x:c r="B31" s="62" t="n">
        <x:f>-'04_Invested_Capital'!H9</x:f>
        <x:v>-66594</x:v>
      </x:c>
      <x:c r="C31" s="12"/>
      <x:c r="D31" s="12"/>
      <x:c r="E31" s="12"/>
      <x:c r="F31" s="12"/>
      <x:c r="G31" s="12"/>
      <x:c r="H31" s="12"/>
      <x:c r="I31" s="12"/>
      <x:c r="J31" s="12"/>
      <x:c r="K31" s="12"/>
      <x:c r="L31" s="12"/>
      <x:c r="M31" s="12"/>
    </x:row>
    <x:row r="32">
      <x:c r="A32" s="90" t="str">
        <x:v>Equity Value</x:v>
      </x:c>
      <x:c r="B32" s="91" t="n">
        <x:f>SUM(B25:B31)</x:f>
        <x:v>2741569.758050273</x:v>
      </x:c>
      <x:c r="C32" s="12"/>
      <x:c r="D32" s="12"/>
      <x:c r="E32" s="12"/>
      <x:c r="F32" s="12"/>
      <x:c r="G32" s="12"/>
      <x:c r="H32" s="12"/>
      <x:c r="I32" s="12"/>
      <x:c r="J32" s="12"/>
      <x:c r="K32" s="12"/>
      <x:c r="L32" s="12"/>
      <x:c r="M32" s="12"/>
    </x:row>
    <x:row r="33">
      <x:c r="A33" s="12" t="str">
        <x:v>Diluted Shares Outstanding (FY2026 weighted-average proxy)</x:v>
      </x:c>
      <x:c r="B33" s="44" t="n">
        <x:f>'00_Assumptions'!B38</x:f>
        <x:v>7453</x:v>
      </x:c>
      <x:c r="C33" s="12"/>
      <x:c r="D33" s="12"/>
      <x:c r="E33" s="12"/>
      <x:c r="F33" s="12"/>
      <x:c r="G33" s="12"/>
      <x:c r="H33" s="12"/>
      <x:c r="I33" s="12"/>
      <x:c r="J33" s="12"/>
      <x:c r="K33" s="12"/>
      <x:c r="L33" s="12"/>
      <x:c r="M33" s="12"/>
    </x:row>
    <x:row r="34">
      <x:c r="A34" s="90" t="str">
        <x:v>Intrinsic Value Per Share</x:v>
      </x:c>
      <x:c r="B34" s="172" t="n">
        <x:f>B32/B33</x:f>
        <x:v>367.8478140413623</x:v>
      </x:c>
      <x:c r="C34" s="12"/>
      <x:c r="D34" s="12"/>
      <x:c r="E34" s="12"/>
      <x:c r="F34" s="12"/>
      <x:c r="G34" s="12"/>
      <x:c r="H34" s="12"/>
      <x:c r="I34" s="12"/>
      <x:c r="J34" s="12"/>
      <x:c r="K34" s="12"/>
      <x:c r="L34" s="12"/>
      <x:c r="M34" s="12"/>
    </x:row>
    <x:row r="35">
      <x:c r="A35" s="12" t="str">
        <x:v>Current Market Price</x:v>
      </x:c>
      <x:c r="B35" s="166" t="n">
        <x:f>'00_Assumptions'!B37</x:f>
        <x:v>499.86</x:v>
      </x:c>
      <x:c r="C35" s="12"/>
      <x:c r="D35" s="12"/>
      <x:c r="E35" s="12"/>
      <x:c r="F35" s="12"/>
      <x:c r="G35" s="12"/>
      <x:c r="H35" s="12"/>
      <x:c r="I35" s="12"/>
      <x:c r="J35" s="12"/>
      <x:c r="K35" s="12"/>
      <x:c r="L35" s="12"/>
      <x:c r="M35" s="12"/>
    </x:row>
    <x:row r="36">
      <x:c r="A36" s="12" t="str">
        <x:v>Implied Upside / (Downside)</x:v>
      </x:c>
      <x:c r="B36" s="38" t="n">
        <x:f>B34/B35-1</x:f>
        <x:v>-0.26409831944672046</x:v>
      </x:c>
      <x:c r="C36" s="12"/>
      <x:c r="D36" s="12"/>
      <x:c r="E36" s="12"/>
      <x:c r="F36" s="12"/>
      <x:c r="G36" s="12"/>
      <x:c r="H36" s="12"/>
      <x:c r="I36" s="12"/>
      <x:c r="J36" s="12"/>
      <x:c r="K36" s="12"/>
      <x:c r="L36" s="12"/>
      <x:c r="M36" s="12"/>
    </x:row>
    <x:row r="37">
      <x:c r="A37" s="12"/>
      <x:c r="B37" s="12"/>
      <x:c r="C37" s="12"/>
      <x:c r="D37" s="12"/>
      <x:c r="E37" s="12"/>
      <x:c r="F37" s="12"/>
      <x:c r="G37" s="12"/>
      <x:c r="H37" s="12"/>
      <x:c r="I37" s="12"/>
      <x:c r="J37" s="12"/>
      <x:c r="K37" s="12"/>
      <x:c r="L37" s="12"/>
      <x:c r="M37" s="12"/>
    </x:row>
    <x:row r="38">
      <x:c r="A38" s="12" t="str">
        <x:v>Equity Bridge Check</x:v>
      </x:c>
      <x:c r="B38" s="44" t="n">
        <x:f>B32-SUM(B25:B31)</x:f>
        <x:v>0</x:v>
      </x:c>
      <x:c r="C38" s="12"/>
      <x:c r="D38" s="12"/>
      <x:c r="E38" s="12"/>
      <x:c r="F38" s="12"/>
      <x:c r="G38" s="12"/>
      <x:c r="H38" s="12"/>
      <x:c r="I38" s="12"/>
      <x:c r="J38" s="12"/>
      <x:c r="K38" s="12"/>
      <x:c r="L38" s="12"/>
      <x:c r="M38" s="12"/>
    </x:row>
    <x:row r="39">
      <x:c r="A39" s="12"/>
      <x:c r="B39" s="12"/>
      <x:c r="C39" s="12"/>
      <x:c r="D39" s="12"/>
      <x:c r="E39" s="12"/>
      <x:c r="F39" s="12"/>
      <x:c r="G39" s="12"/>
      <x:c r="H39" s="12"/>
      <x:c r="I39" s="12"/>
      <x:c r="J39" s="12"/>
      <x:c r="K39" s="12"/>
      <x:c r="L39" s="12"/>
      <x:c r="M39" s="12"/>
    </x:row>
    <x:row r="40" ht="20" customHeight="1">
      <x:c r="A40" s="27" t="str">
        <x:v>DCF Diagnostics</x:v>
      </x:c>
      <x:c r="B40" s="168"/>
      <x:c r="C40" s="27"/>
      <x:c r="D40" s="27"/>
      <x:c r="E40" s="27"/>
      <x:c r="F40" s="27"/>
      <x:c r="G40" s="27"/>
      <x:c r="H40" s="27"/>
      <x:c r="I40" s="27"/>
      <x:c r="J40" s="27"/>
      <x:c r="K40" s="27"/>
      <x:c r="L40" s="12"/>
      <x:c r="M40" s="12"/>
    </x:row>
    <x:row r="41">
      <x:c r="A41" s="12" t="str">
        <x:v>Terminal Value as % of Enterprise Value</x:v>
      </x:c>
      <x:c r="B41" s="38" t="n">
        <x:f>B19/B25</x:f>
        <x:v>0.6590223598830145</x:v>
      </x:c>
      <x:c r="C41" s="12"/>
      <x:c r="D41" s="12"/>
      <x:c r="E41" s="12"/>
      <x:c r="F41" s="12"/>
      <x:c r="G41" s="12"/>
      <x:c r="H41" s="12"/>
      <x:c r="I41" s="12"/>
      <x:c r="J41" s="12"/>
      <x:c r="K41" s="12"/>
      <x:c r="L41" s="12"/>
      <x:c r="M41" s="12"/>
    </x:row>
    <x:row r="42">
      <x:c r="A42" s="12" t="str">
        <x:v>Explicit Forecast as % of Enterprise Value</x:v>
      </x:c>
      <x:c r="B42" s="38" t="n">
        <x:f>B20/B25</x:f>
        <x:v>0.34097764011698556</x:v>
      </x:c>
      <x:c r="C42" s="12"/>
      <x:c r="D42" s="12"/>
      <x:c r="E42" s="12"/>
      <x:c r="F42" s="12"/>
      <x:c r="G42" s="12"/>
      <x:c r="H42" s="12"/>
      <x:c r="I42" s="12"/>
      <x:c r="J42" s="12"/>
      <x:c r="K42" s="12"/>
      <x:c r="L42" s="12"/>
      <x:c r="M42" s="12"/>
    </x:row>
    <x:row r="43">
      <x:c r="A43" s="12" t="str">
        <x:v>Implied Terminal EV/UFCF Multiple</x:v>
      </x:c>
      <x:c r="B43" s="164" t="n">
        <x:f>B16/K7</x:f>
        <x:v>15.915845075744711</x:v>
      </x:c>
      <x:c r="C43" s="12"/>
      <x:c r="D43" s="12"/>
      <x:c r="E43" s="12"/>
      <x:c r="F43" s="12"/>
      <x:c r="G43" s="12"/>
      <x:c r="H43" s="12"/>
      <x:c r="I43" s="12"/>
      <x:c r="J43" s="12"/>
      <x:c r="K43" s="12"/>
      <x:c r="L43" s="12"/>
      <x:c r="M43" s="12"/>
    </x:row>
    <x:row r="44">
      <x:c r="A44" s="12" t="str">
        <x:v>WACC Greater Than Terminal Growth</x:v>
      </x:c>
      <x:c r="B44" s="12" t="str">
        <x:f>IF('00_Assumptions'!$B$46&gt;B14,"PASS","FAIL")</x:f>
        <x:v>PASS</x:v>
      </x:c>
      <x:c r="C44" s="12"/>
      <x:c r="D44" s="12"/>
      <x:c r="E44" s="12"/>
      <x:c r="F44" s="12"/>
      <x:c r="G44" s="12"/>
      <x:c r="H44" s="12"/>
      <x:c r="I44" s="12"/>
      <x:c r="J44" s="12"/>
      <x:c r="K44" s="12"/>
      <x:c r="L44" s="12"/>
      <x:c r="M44" s="12"/>
    </x:row>
    <x:row r="45">
      <x:c r="A45" s="12" t="str">
        <x:v>Enterprise Value Check</x:v>
      </x:c>
      <x:c r="B45" s="44" t="n">
        <x:f>B25-(B20+B19)</x:f>
        <x:v>0</x:v>
      </x:c>
      <x:c r="C45" s="12"/>
      <x:c r="D45" s="12"/>
      <x:c r="E45" s="12"/>
      <x:c r="F45" s="12"/>
      <x:c r="G45" s="12"/>
      <x:c r="H45" s="12"/>
      <x:c r="I45" s="12"/>
      <x:c r="J45" s="12"/>
      <x:c r="K45" s="12"/>
      <x:c r="L45" s="12"/>
      <x:c r="M45" s="12"/>
    </x:row>
    <x:row r="46">
      <x:c r="A46" s="12" t="str">
        <x:v>Discount Factor Check</x:v>
      </x:c>
      <x:c r="B46" s="12" t="str">
        <x:f>IF(AND(C9&lt;B9,D9&lt;C9,E9&lt;D9,F9&lt;E9,G9&lt;F9,H9&lt;G9,I9&lt;H9,J9&lt;I9,K9&lt;J9),"PASS","FAIL")</x:f>
        <x:v>PASS</x:v>
      </x:c>
      <x:c r="C46" s="12"/>
      <x:c r="D46" s="12"/>
      <x:c r="E46" s="12"/>
      <x:c r="F46" s="12"/>
      <x:c r="G46" s="12"/>
      <x:c r="H46" s="12"/>
      <x:c r="I46" s="12"/>
      <x:c r="J46" s="12"/>
      <x:c r="K46" s="12"/>
      <x:c r="L46" s="12"/>
      <x:c r="M46" s="12"/>
    </x:row>
    <x:row r="47">
      <x:c r="A47" s="12" t="str">
        <x:v>Terminal + Explicit Value Check</x:v>
      </x:c>
      <x:c r="B47" s="38" t="str">
        <x:f>IF(ABS(B41+B42-1)&lt;0.000001,"PASS","CHECK")</x:f>
        <x:v>PASS</x:v>
      </x:c>
      <x:c r="C47" s="12"/>
      <x:c r="D47" s="12"/>
      <x:c r="E47" s="12"/>
      <x:c r="F47" s="12"/>
      <x:c r="G47" s="12"/>
      <x:c r="H47" s="12"/>
      <x:c r="I47" s="12"/>
      <x:c r="J47" s="12"/>
      <x:c r="K47" s="12"/>
      <x:c r="L47" s="12"/>
      <x:c r="M47" s="12"/>
    </x:row>
  </x:sheetData>
  <x:mergeCells>
    <x:mergeCell ref="A1:K1"/>
    <x:mergeCell ref="A2:K2"/>
    <x:mergeCell ref="A13:K13"/>
    <x:mergeCell ref="A24:K24"/>
    <x:mergeCell ref="A40:K40"/>
  </x:mergeCells>
  <x:conditionalFormatting sqref="B44:B44">
    <x:cfRule type="expression" dxfId="6" priority="1">
      <x:formula>B44="PASS"</x:formula>
    </x:cfRule>
    <x:cfRule type="expression" dxfId="7" priority="2">
      <x:formula>OR(B44="FAIL",B44="CHECK")</x:formula>
    </x:cfRule>
  </x:conditionalFormatting>
  <x:conditionalFormatting sqref="B46:B46">
    <x:cfRule type="expression" dxfId="8" priority="3">
      <x:formula>B46="PASS"</x:formula>
    </x:cfRule>
    <x:cfRule type="expression" dxfId="9" priority="4">
      <x:formula>OR(B46="FAIL",B46="CHECK")</x:formula>
    </x:cfRule>
  </x:conditionalFormatting>
  <x:conditionalFormatting sqref="B47:B47">
    <x:cfRule type="expression" dxfId="14" priority="5">
      <x:formula>B47="PASS"</x:formula>
    </x:cfRule>
    <x:cfRule type="expression" dxfId="15" priority="6">
      <x:formula>B47&lt;&gt;"PASS"</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47"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 hidden="0" customWidth="1"/>
  </x:cols>
  <x:sheetData>
    <x:row r="1" ht="28" customHeight="1">
      <x:c r="A1" s="16" t="str">
        <x:v>Microsoft Reverse DCF Analysis</x:v>
      </x:c>
      <x:c r="B1" s="16"/>
      <x:c r="C1" s="16"/>
      <x:c r="D1" s="16"/>
      <x:c r="E1" s="16"/>
      <x:c r="F1" s="16"/>
      <x:c r="G1" s="16"/>
      <x:c r="H1" s="16"/>
      <x:c r="I1" s="16"/>
      <x:c r="J1" s="16"/>
      <x:c r="K1" s="16"/>
      <x:c r="L1" s="16"/>
      <x:c r="M1" s="12"/>
    </x:row>
    <x:row r="2" ht="20" customHeight="1">
      <x:c r="A2" s="22" t="str">
        <x:v>USD in millions, except per-share amounts and percentages</x:v>
      </x:c>
      <x:c r="B2" s="22"/>
      <x:c r="C2" s="22"/>
      <x:c r="D2" s="22"/>
      <x:c r="E2" s="22"/>
      <x:c r="F2" s="22"/>
      <x:c r="G2" s="22"/>
      <x:c r="H2" s="22"/>
      <x:c r="I2" s="22"/>
      <x:c r="J2" s="22"/>
      <x:c r="K2" s="22"/>
      <x:c r="L2" s="22"/>
      <x:c r="M2" s="12"/>
    </x:row>
    <x:row r="3">
      <x:c r="A3" s="12"/>
      <x:c r="B3" s="12"/>
      <x:c r="C3" s="12"/>
      <x:c r="D3" s="12"/>
      <x:c r="E3" s="12"/>
      <x:c r="F3" s="12"/>
      <x:c r="G3" s="12"/>
      <x:c r="H3" s="12"/>
      <x:c r="I3" s="12"/>
      <x:c r="J3" s="12"/>
      <x:c r="K3" s="12"/>
      <x:c r="L3" s="12"/>
      <x:c r="M3" s="12"/>
    </x:row>
    <x:row r="4" ht="20" customHeight="1">
      <x:c r="A4" s="27" t="str">
        <x:v>Market-Implied Enterprise Value</x:v>
      </x:c>
      <x:c r="B4" s="27"/>
      <x:c r="C4" s="27"/>
      <x:c r="D4" s="27"/>
      <x:c r="E4" s="27"/>
      <x:c r="F4" s="27"/>
      <x:c r="G4" s="27"/>
      <x:c r="H4" s="27"/>
      <x:c r="I4" s="27"/>
      <x:c r="J4" s="27"/>
      <x:c r="K4" s="27"/>
      <x:c r="L4" s="27"/>
      <x:c r="M4" s="12"/>
    </x:row>
    <x:row r="5">
      <x:c r="A5" s="12" t="str">
        <x:v>Current Share Price</x:v>
      </x:c>
      <x:c r="B5" s="166" t="n">
        <x:f>'00_Assumptions'!B37</x:f>
        <x:v>499.86</x:v>
      </x:c>
      <x:c r="C5" s="12"/>
      <x:c r="D5" s="12"/>
      <x:c r="E5" s="12"/>
      <x:c r="F5" s="12"/>
      <x:c r="G5" s="12"/>
      <x:c r="H5" s="12"/>
      <x:c r="I5" s="12"/>
      <x:c r="J5" s="12"/>
      <x:c r="K5" s="12"/>
      <x:c r="L5" s="12"/>
      <x:c r="M5" s="12"/>
    </x:row>
    <x:row r="6">
      <x:c r="A6" s="12" t="str">
        <x:v>Diluted Shares (FY2026 weighted-average proxy, millions)</x:v>
      </x:c>
      <x:c r="B6" s="62" t="n">
        <x:f>'00_Assumptions'!B38</x:f>
        <x:v>7453</x:v>
      </x:c>
      <x:c r="C6" s="44"/>
      <x:c r="D6" s="44"/>
      <x:c r="E6" s="44"/>
      <x:c r="F6" s="44"/>
      <x:c r="G6" s="44"/>
      <x:c r="H6" s="44"/>
      <x:c r="I6" s="44"/>
      <x:c r="J6" s="44"/>
      <x:c r="K6" s="44"/>
      <x:c r="L6" s="44"/>
      <x:c r="M6" s="12"/>
    </x:row>
    <x:row r="7">
      <x:c r="A7" s="12" t="str">
        <x:v>Current Market Capitalization</x:v>
      </x:c>
      <x:c r="B7" s="44" t="n">
        <x:f>B5*B6</x:f>
        <x:v>3725456.58</x:v>
      </x:c>
      <x:c r="C7" s="44"/>
      <x:c r="D7" s="44"/>
      <x:c r="E7" s="44"/>
      <x:c r="F7" s="44"/>
      <x:c r="G7" s="44"/>
      <x:c r="H7" s="44"/>
      <x:c r="I7" s="44"/>
      <x:c r="J7" s="44"/>
      <x:c r="K7" s="44"/>
      <x:c r="L7" s="44"/>
      <x:c r="M7" s="12"/>
    </x:row>
    <x:row r="8">
      <x:c r="A8" s="12" t="str">
        <x:v>Add: Current Portion of Long-term Debt</x:v>
      </x:c>
      <x:c r="B8" s="44" t="n">
        <x:f>'00_Assumptions'!B40</x:f>
        <x:v>9227</x:v>
      </x:c>
      <x:c r="C8" s="44"/>
      <x:c r="D8" s="44"/>
      <x:c r="E8" s="44"/>
      <x:c r="F8" s="44"/>
      <x:c r="G8" s="44"/>
      <x:c r="H8" s="44"/>
      <x:c r="I8" s="44"/>
      <x:c r="J8" s="44"/>
      <x:c r="K8" s="44"/>
      <x:c r="L8" s="44"/>
      <x:c r="M8" s="12"/>
    </x:row>
    <x:row r="9">
      <x:c r="A9" s="12" t="str">
        <x:v>Add: Long-Term Debt</x:v>
      </x:c>
      <x:c r="B9" s="44" t="n">
        <x:f>'00_Assumptions'!B41</x:f>
        <x:v>31067</x:v>
      </x:c>
      <x:c r="C9" s="44"/>
      <x:c r="D9" s="44"/>
      <x:c r="E9" s="44"/>
      <x:c r="F9" s="44"/>
      <x:c r="G9" s="44"/>
      <x:c r="H9" s="44"/>
      <x:c r="I9" s="44"/>
      <x:c r="J9" s="44"/>
      <x:c r="K9" s="44"/>
      <x:c r="L9" s="44"/>
      <x:c r="M9" s="12"/>
    </x:row>
    <x:row r="10">
      <x:c r="A10" s="12" t="str">
        <x:v>Add: Finance Lease Liabilities</x:v>
      </x:c>
      <x:c r="B10" s="44" t="n">
        <x:f>'00_Assumptions'!B42</x:f>
        <x:v>66594</x:v>
      </x:c>
      <x:c r="C10" s="44"/>
      <x:c r="D10" s="44"/>
      <x:c r="E10" s="44"/>
      <x:c r="F10" s="44"/>
      <x:c r="G10" s="44"/>
      <x:c r="H10" s="44"/>
      <x:c r="I10" s="44"/>
      <x:c r="J10" s="44"/>
      <x:c r="K10" s="44"/>
      <x:c r="L10" s="44"/>
      <x:c r="M10" s="12"/>
    </x:row>
    <x:row r="11">
      <x:c r="A11" s="12" t="str">
        <x:v>Less: Cash and Cash Equivalents</x:v>
      </x:c>
      <x:c r="B11" s="44" t="n">
        <x:f>-'04_Invested_Capital'!H10</x:f>
        <x:v>-20935</x:v>
      </x:c>
      <x:c r="C11" s="44"/>
      <x:c r="D11" s="44"/>
      <x:c r="E11" s="44"/>
      <x:c r="F11" s="44"/>
      <x:c r="G11" s="44"/>
      <x:c r="H11" s="44"/>
      <x:c r="I11" s="44"/>
      <x:c r="J11" s="44"/>
      <x:c r="K11" s="44"/>
      <x:c r="L11" s="44"/>
      <x:c r="M11" s="12"/>
    </x:row>
    <x:row r="12">
      <x:c r="A12" s="12" t="str">
        <x:v>Less: Short-Term Investments</x:v>
      </x:c>
      <x:c r="B12" s="44" t="n">
        <x:f>-'04_Invested_Capital'!H11</x:f>
        <x:v>-55908</x:v>
      </x:c>
      <x:c r="C12" s="44"/>
      <x:c r="D12" s="44"/>
      <x:c r="E12" s="44"/>
      <x:c r="F12" s="44"/>
      <x:c r="G12" s="44"/>
      <x:c r="H12" s="44"/>
      <x:c r="I12" s="44"/>
      <x:c r="J12" s="44"/>
      <x:c r="K12" s="44"/>
      <x:c r="L12" s="44"/>
      <x:c r="M12" s="12"/>
    </x:row>
    <x:row r="13">
      <x:c r="A13" s="12" t="str">
        <x:v>Less: Equity and Other Investments</x:v>
      </x:c>
      <x:c r="B13" s="44" t="n">
        <x:f>-'04_Invested_Capital'!H12</x:f>
        <x:v>-36348</x:v>
      </x:c>
      <x:c r="C13" s="44"/>
      <x:c r="D13" s="44"/>
      <x:c r="E13" s="44"/>
      <x:c r="F13" s="44"/>
      <x:c r="G13" s="44"/>
      <x:c r="H13" s="44"/>
      <x:c r="I13" s="44"/>
      <x:c r="J13" s="44"/>
      <x:c r="K13" s="44"/>
      <x:c r="L13" s="44"/>
      <x:c r="M13" s="12"/>
    </x:row>
    <x:row r="14">
      <x:c r="A14" s="12" t="str">
        <x:v>Market-Implied Enterprise Value</x:v>
      </x:c>
      <x:c r="B14" s="44" t="n">
        <x:f>SUM(B7:B13)</x:f>
        <x:v>3719153.58</x:v>
      </x:c>
      <x:c r="C14" s="44"/>
      <x:c r="D14" s="44"/>
      <x:c r="E14" s="44"/>
      <x:c r="F14" s="44"/>
      <x:c r="G14" s="44"/>
      <x:c r="H14" s="44"/>
      <x:c r="I14" s="44"/>
      <x:c r="J14" s="44"/>
      <x:c r="K14" s="44"/>
      <x:c r="L14" s="44"/>
      <x:c r="M14" s="12"/>
    </x:row>
    <x:row r="15">
      <x:c r="A15" s="12"/>
      <x:c r="B15" s="12"/>
      <x:c r="C15" s="12"/>
      <x:c r="D15" s="12"/>
      <x:c r="E15" s="12"/>
      <x:c r="F15" s="12"/>
      <x:c r="G15" s="12"/>
      <x:c r="H15" s="12"/>
      <x:c r="I15" s="12"/>
      <x:c r="J15" s="12"/>
      <x:c r="K15" s="12"/>
      <x:c r="L15" s="12"/>
      <x:c r="M15" s="12"/>
    </x:row>
    <x:row r="16" ht="20" customHeight="1">
      <x:c r="A16" s="27" t="str">
        <x:v>Reverse DCF Input</x:v>
      </x:c>
      <x:c r="B16" s="27"/>
      <x:c r="C16" s="27"/>
      <x:c r="D16" s="27"/>
      <x:c r="E16" s="27"/>
      <x:c r="F16" s="27"/>
      <x:c r="G16" s="27"/>
      <x:c r="H16" s="27"/>
      <x:c r="I16" s="27"/>
      <x:c r="J16" s="27"/>
      <x:c r="K16" s="27"/>
      <x:c r="L16" s="27"/>
      <x:c r="M16" s="12"/>
    </x:row>
    <x:row r="17">
      <x:c r="A17" s="12" t="str">
        <x:v>Solved Revenue Growth Uplift (pp)</x:v>
      </x:c>
      <x:c r="B17" s="178" t="n">
        <x:v>0.074071899726386</x:v>
      </x:c>
      <x:c r="C17" s="12"/>
      <x:c r="D17" s="12"/>
      <x:c r="E17" s="12"/>
      <x:c r="F17" s="12"/>
      <x:c r="G17" s="12"/>
      <x:c r="H17" s="12"/>
      <x:c r="I17" s="12"/>
      <x:c r="J17" s="12"/>
      <x:c r="K17" s="12"/>
      <x:c r="L17" s="12"/>
      <x:c r="M17" s="12"/>
    </x:row>
    <x:row r="18">
      <x:c r="A18" s="12" t="str">
        <x:v>Uplift Method</x:v>
      </x:c>
      <x:c r="B18" s="12" t="str">
        <x:v>Linear fade to 0% by FY2036E</x:v>
      </x:c>
      <x:c r="C18" s="12"/>
      <x:c r="D18" s="12"/>
      <x:c r="E18" s="12"/>
      <x:c r="F18" s="12"/>
      <x:c r="G18" s="12"/>
      <x:c r="H18" s="12"/>
      <x:c r="I18" s="12"/>
      <x:c r="J18" s="12"/>
      <x:c r="K18" s="12"/>
      <x:c r="L18" s="12"/>
      <x:c r="M18" s="12"/>
    </x:row>
    <x:row r="19">
      <x:c r="A19" s="12" t="str">
        <x:v>Operating Margin Treatment</x:v>
      </x:c>
      <x:c r="B19" s="12" t="str">
        <x:v>Base-case operating margin path</x:v>
      </x:c>
      <x:c r="C19" s="12"/>
      <x:c r="D19" s="12"/>
      <x:c r="E19" s="12"/>
      <x:c r="F19" s="12"/>
      <x:c r="G19" s="12"/>
      <x:c r="H19" s="12"/>
      <x:c r="I19" s="12"/>
      <x:c r="J19" s="12"/>
      <x:c r="K19" s="12"/>
      <x:c r="L19" s="12"/>
      <x:c r="M19" s="12"/>
    </x:row>
    <x:row r="20">
      <x:c r="A20" s="12" t="str">
        <x:v>Reinvestment Treatment</x:v>
      </x:c>
      <x:c r="B20" s="12" t="str">
        <x:v>Base-case reinvestment path</x:v>
      </x:c>
      <x:c r="C20" s="12"/>
      <x:c r="D20" s="12"/>
      <x:c r="E20" s="12"/>
      <x:c r="F20" s="12"/>
      <x:c r="G20" s="12"/>
      <x:c r="H20" s="12"/>
      <x:c r="I20" s="12"/>
      <x:c r="J20" s="12"/>
      <x:c r="K20" s="12"/>
      <x:c r="L20" s="12"/>
      <x:c r="M20" s="12"/>
    </x:row>
    <x:row r="21">
      <x:c r="A21" s="12"/>
      <x:c r="B21" s="12"/>
      <x:c r="C21" s="12"/>
      <x:c r="D21" s="12"/>
      <x:c r="E21" s="12"/>
      <x:c r="F21" s="12"/>
      <x:c r="G21" s="12"/>
      <x:c r="H21" s="12"/>
      <x:c r="I21" s="12"/>
      <x:c r="J21" s="12"/>
      <x:c r="K21" s="12"/>
      <x:c r="L21" s="12"/>
      <x:c r="M21" s="12"/>
    </x:row>
    <x:row r="22">
      <x:c r="A22" s="98" t="str">
        <x:v>Note: The revenue-growth uplift is applied to FY2027E and fades linearly to zero by FY2036E. Operating margins, tax rates, reinvestment assumptions, WACC, and terminal growth remain unchanged from the base case.</x:v>
      </x:c>
      <x:c r="B22" s="98"/>
      <x:c r="C22" s="98"/>
      <x:c r="D22" s="98"/>
      <x:c r="E22" s="98"/>
      <x:c r="F22" s="98"/>
      <x:c r="G22" s="98"/>
      <x:c r="H22" s="98"/>
      <x:c r="I22" s="98"/>
      <x:c r="J22" s="98"/>
      <x:c r="K22" s="98"/>
      <x:c r="L22" s="98"/>
      <x:c r="M22" s="12"/>
    </x:row>
    <x:row r="23">
      <x:c r="A23" s="12"/>
      <x:c r="B23" s="12"/>
      <x:c r="C23" s="12"/>
      <x:c r="D23" s="12"/>
      <x:c r="E23" s="12"/>
      <x:c r="F23" s="12"/>
      <x:c r="G23" s="12"/>
      <x:c r="H23" s="12"/>
      <x:c r="I23" s="12"/>
      <x:c r="J23" s="12"/>
      <x:c r="K23" s="12"/>
      <x:c r="L23" s="12"/>
      <x:c r="M23" s="12"/>
    </x:row>
    <x:row r="24">
      <x:c r="A24" s="33" t="str">
        <x:v>Metric</x:v>
      </x:c>
      <x:c r="B24" s="33" t="str">
        <x:v>FY2026A</x:v>
      </x:c>
      <x:c r="C24" s="33" t="str">
        <x:v>FY2027E</x:v>
      </x:c>
      <x:c r="D24" s="33" t="str">
        <x:v>FY2028E</x:v>
      </x:c>
      <x:c r="E24" s="33" t="str">
        <x:v>FY2029E</x:v>
      </x:c>
      <x:c r="F24" s="33" t="str">
        <x:v>FY2030E</x:v>
      </x:c>
      <x:c r="G24" s="33" t="str">
        <x:v>FY2031E</x:v>
      </x:c>
      <x:c r="H24" s="33" t="str">
        <x:v>FY2032E</x:v>
      </x:c>
      <x:c r="I24" s="33" t="str">
        <x:v>FY2033E</x:v>
      </x:c>
      <x:c r="J24" s="33" t="str">
        <x:v>FY2034E</x:v>
      </x:c>
      <x:c r="K24" s="33" t="str">
        <x:v>FY2035E</x:v>
      </x:c>
      <x:c r="L24" s="33" t="str">
        <x:v>FY2036E</x:v>
      </x:c>
      <x:c r="M24" s="12"/>
    </x:row>
    <x:row r="25">
      <x:c r="A25" s="12" t="str">
        <x:v>Base-Case Revenue Growth</x:v>
      </x:c>
      <x:c r="B25" s="38"/>
      <x:c r="C25" s="128" t="n">
        <x:f>'06_Consolidated_Forecast'!F11</x:f>
        <x:v>0.1621649655405184</x:v>
      </x:c>
      <x:c r="D25" s="128" t="n">
        <x:f>'06_Consolidated_Forecast'!G11</x:f>
        <x:v>0.15416586460434267</x:v>
      </x:c>
      <x:c r="E25" s="128" t="n">
        <x:f>'06_Consolidated_Forecast'!H11</x:f>
        <x:v>0.13651366859995484</x:v>
      </x:c>
      <x:c r="F25" s="128" t="n">
        <x:f>'06_Consolidated_Forecast'!I11</x:f>
        <x:v>0.11666438344392138</x:v>
      </x:c>
      <x:c r="G25" s="128" t="n">
        <x:f>'06_Consolidated_Forecast'!J11</x:f>
        <x:v>0.09917750576492268</x:v>
      </x:c>
      <x:c r="H25" s="128" t="n">
        <x:f>'06_Consolidated_Forecast'!K11</x:f>
        <x:v>0.0799332425236794</x:v>
      </x:c>
      <x:c r="I25" s="128" t="n">
        <x:f>'06_Consolidated_Forecast'!L11</x:f>
        <x:v>0.06973898548102997</x:v>
      </x:c>
      <x:c r="J25" s="128" t="n">
        <x:f>'06_Consolidated_Forecast'!M11</x:f>
        <x:v>0.05966583789553637</x:v>
      </x:c>
      <x:c r="K25" s="128" t="n">
        <x:f>'06_Consolidated_Forecast'!N11</x:f>
        <x:v>0.05190837194596565</x:v>
      </x:c>
      <x:c r="L25" s="128" t="n">
        <x:f>'06_Consolidated_Forecast'!O11</x:f>
        <x:v>0.04740145130578388</x:v>
      </x:c>
      <x:c r="M25" s="12"/>
    </x:row>
    <x:row r="26">
      <x:c r="A26" s="12" t="str">
        <x:v>Growth Uplift Fade Weight</x:v>
      </x:c>
      <x:c r="B26" s="38"/>
      <x:c r="C26" s="38" t="n">
        <x:f>1-(COLUMN()-COLUMN($C$26))/(COLUMN($L$26)-COLUMN($C$26))</x:f>
        <x:v>1</x:v>
      </x:c>
      <x:c r="D26" s="38" t="n">
        <x:f>1-(COLUMN()-COLUMN($C$26))/(COLUMN($L$26)-COLUMN($C$26))</x:f>
        <x:v>0.8888888888888888</x:v>
      </x:c>
      <x:c r="E26" s="38" t="n">
        <x:f>1-(COLUMN()-COLUMN($C$26))/(COLUMN($L$26)-COLUMN($C$26))</x:f>
        <x:v>0.7777777777777778</x:v>
      </x:c>
      <x:c r="F26" s="38" t="n">
        <x:f>1-(COLUMN()-COLUMN($C$26))/(COLUMN($L$26)-COLUMN($C$26))</x:f>
        <x:v>0.6666666666666667</x:v>
      </x:c>
      <x:c r="G26" s="38" t="n">
        <x:f>1-(COLUMN()-COLUMN($C$26))/(COLUMN($L$26)-COLUMN($C$26))</x:f>
        <x:v>0.5555555555555556</x:v>
      </x:c>
      <x:c r="H26" s="38" t="n">
        <x:f>1-(COLUMN()-COLUMN($C$26))/(COLUMN($L$26)-COLUMN($C$26))</x:f>
        <x:v>0.4444444444444444</x:v>
      </x:c>
      <x:c r="I26" s="38" t="n">
        <x:f>1-(COLUMN()-COLUMN($C$26))/(COLUMN($L$26)-COLUMN($C$26))</x:f>
        <x:v>0.33333333333333337</x:v>
      </x:c>
      <x:c r="J26" s="38" t="n">
        <x:f>1-(COLUMN()-COLUMN($C$26))/(COLUMN($L$26)-COLUMN($C$26))</x:f>
        <x:v>0.2222222222222222</x:v>
      </x:c>
      <x:c r="K26" s="38" t="n">
        <x:f>1-(COLUMN()-COLUMN($C$26))/(COLUMN($L$26)-COLUMN($C$26))</x:f>
        <x:v>0.11111111111111116</x:v>
      </x:c>
      <x:c r="L26" s="38" t="n">
        <x:f>1-(COLUMN()-COLUMN($C$26))/(COLUMN($L$26)-COLUMN($C$26))</x:f>
        <x:v>0</x:v>
      </x:c>
      <x:c r="M26" s="12"/>
    </x:row>
    <x:row r="27">
      <x:c r="A27" s="12" t="str">
        <x:v>Growth Uplift</x:v>
      </x:c>
      <x:c r="B27" s="38"/>
      <x:c r="C27" s="38" t="n">
        <x:f>$B$17*C26</x:f>
        <x:v>0.074071899726386</x:v>
      </x:c>
      <x:c r="D27" s="38" t="n">
        <x:f>$B$17*D26</x:f>
        <x:v>0.06584168864567644</x:v>
      </x:c>
      <x:c r="E27" s="38" t="n">
        <x:f>$B$17*E26</x:f>
        <x:v>0.057611477564966894</x:v>
      </x:c>
      <x:c r="F27" s="38" t="n">
        <x:f>$B$17*F26</x:f>
        <x:v>0.04938126648425734</x:v>
      </x:c>
      <x:c r="G27" s="38" t="n">
        <x:f>$B$17*G26</x:f>
        <x:v>0.041151055403547784</x:v>
      </x:c>
      <x:c r="H27" s="38" t="n">
        <x:f>$B$17*H26</x:f>
        <x:v>0.03292084432283822</x:v>
      </x:c>
      <x:c r="I27" s="38" t="n">
        <x:f>$B$17*I26</x:f>
        <x:v>0.02469063324212867</x:v>
      </x:c>
      <x:c r="J27" s="38" t="n">
        <x:f>$B$17*J26</x:f>
        <x:v>0.01646042216141911</x:v>
      </x:c>
      <x:c r="K27" s="38" t="n">
        <x:f>$B$17*K26</x:f>
        <x:v>0.00823021108070956</x:v>
      </x:c>
      <x:c r="L27" s="38" t="n">
        <x:f>$B$17*L26</x:f>
        <x:v>0</x:v>
      </x:c>
      <x:c r="M27" s="12"/>
    </x:row>
    <x:row r="28">
      <x:c r="A28" s="12" t="str">
        <x:v>Market-Implied Revenue Growth</x:v>
      </x:c>
      <x:c r="B28" s="38"/>
      <x:c r="C28" s="38" t="n">
        <x:f>C25+C27</x:f>
        <x:v>0.2362368652669044</x:v>
      </x:c>
      <x:c r="D28" s="38" t="n">
        <x:f>D25+D27</x:f>
        <x:v>0.2200075532500191</x:v>
      </x:c>
      <x:c r="E28" s="38" t="n">
        <x:f>E25+E27</x:f>
        <x:v>0.19412514616492174</x:v>
      </x:c>
      <x:c r="F28" s="38" t="n">
        <x:f>F25+F27</x:f>
        <x:v>0.16604564992817872</x:v>
      </x:c>
      <x:c r="G28" s="38" t="n">
        <x:f>G25+G27</x:f>
        <x:v>0.14032856116847048</x:v>
      </x:c>
      <x:c r="H28" s="38" t="n">
        <x:f>H25+H27</x:f>
        <x:v>0.11285408684651761</x:v>
      </x:c>
      <x:c r="I28" s="38" t="n">
        <x:f>I25+I27</x:f>
        <x:v>0.09442961872315864</x:v>
      </x:c>
      <x:c r="J28" s="38" t="n">
        <x:f>J25+J27</x:f>
        <x:v>0.07612626005695547</x:v>
      </x:c>
      <x:c r="K28" s="38" t="n">
        <x:f>K25+K27</x:f>
        <x:v>0.060138583026675206</x:v>
      </x:c>
      <x:c r="L28" s="38" t="n">
        <x:f>L25+L27</x:f>
        <x:v>0.04740145130578388</x:v>
      </x:c>
      <x:c r="M28" s="12"/>
    </x:row>
    <x:row r="29">
      <x:c r="A29" s="12"/>
      <x:c r="B29" s="12"/>
      <x:c r="C29" s="12"/>
      <x:c r="D29" s="12"/>
      <x:c r="E29" s="12"/>
      <x:c r="F29" s="12"/>
      <x:c r="G29" s="12"/>
      <x:c r="H29" s="12"/>
      <x:c r="I29" s="12"/>
      <x:c r="J29" s="12"/>
      <x:c r="K29" s="12"/>
      <x:c r="L29" s="12"/>
      <x:c r="M29" s="12"/>
    </x:row>
    <x:row r="30" ht="20" customHeight="1">
      <x:c r="A30" s="27" t="str">
        <x:v>Reverse Forecast</x:v>
      </x:c>
      <x:c r="B30" s="27"/>
      <x:c r="C30" s="27"/>
      <x:c r="D30" s="27"/>
      <x:c r="E30" s="27"/>
      <x:c r="F30" s="27"/>
      <x:c r="G30" s="27"/>
      <x:c r="H30" s="27"/>
      <x:c r="I30" s="27"/>
      <x:c r="J30" s="27"/>
      <x:c r="K30" s="27"/>
      <x:c r="L30" s="27"/>
      <x:c r="M30" s="12"/>
    </x:row>
    <x:row r="31">
      <x:c r="A31" s="12" t="str">
        <x:v>Revenue</x:v>
      </x:c>
      <x:c r="B31" s="62" t="n">
        <x:f>'06_Consolidated_Forecast'!E10</x:f>
        <x:v>331839</x:v>
      </x:c>
      <x:c r="C31" s="44" t="n">
        <x:f>B31*(1+C28)</x:f>
        <x:v>410231.6051333043</x:v>
      </x:c>
      <x:c r="D31" s="44" t="n">
        <x:f>C31*(1+D28)</x:f>
        <x:v>500485.65684451064</x:v>
      </x:c>
      <x:c r="E31" s="44" t="n">
        <x:f>D31*(1+E28)</x:f>
        <x:v>597642.5081328981</x:v>
      </x:c>
      <x:c r="F31" s="44" t="n">
        <x:f>E31*(1+F28)</x:f>
        <x:v>696878.4468205321</x:v>
      </x:c>
      <x:c r="G31" s="44" t="n">
        <x:f>F31*(1+G28)</x:f>
        <x:v>794670.3965721759</x:v>
      </x:c>
      <x:c r="H31" s="44" t="n">
        <x:f>G31*(1+H28)</x:f>
        <x:v>884352.1985212888</x:v>
      </x:c>
      <x:c r="I31" s="44" t="n">
        <x:f>H31*(1+I28)</x:f>
        <x:v>967861.2394446412</x:v>
      </x:c>
      <x:c r="J31" s="44" t="n">
        <x:f>I31*(1+J28)</x:f>
        <x:v>1041540.8958576511</x:v>
      </x:c>
      <x:c r="K31" s="44" t="n">
        <x:f>J31*(1+K28)</x:f>
        <x:v>1104177.689498864</x:v>
      </x:c>
      <x:c r="L31" s="44" t="n">
        <x:f>K31*(1+L28)</x:f>
        <x:v>1156517.3144805774</x:v>
      </x:c>
      <x:c r="M31" s="12"/>
    </x:row>
    <x:row r="32">
      <x:c r="A32" s="12" t="str">
        <x:v>Operating Margin</x:v>
      </x:c>
      <x:c r="B32" s="38"/>
      <x:c r="C32" s="38" t="n">
        <x:f>'06_Consolidated_Forecast'!F19</x:f>
        <x:v>0.4602295198210737</x:v>
      </x:c>
      <x:c r="D32" s="38" t="n">
        <x:f>'06_Consolidated_Forecast'!G19</x:f>
        <x:v>0.4597048320412866</x:v>
      </x:c>
      <x:c r="E32" s="38" t="n">
        <x:f>'06_Consolidated_Forecast'!H19</x:f>
        <x:v>0.4615298995964909</x:v>
      </x:c>
      <x:c r="F32" s="38" t="n">
        <x:f>'06_Consolidated_Forecast'!I19</x:f>
        <x:v>0.46395293963702305</x:v>
      </x:c>
      <x:c r="G32" s="38" t="n">
        <x:f>'06_Consolidated_Forecast'!J19</x:f>
        <x:v>0.46523644895015953</x:v>
      </x:c>
      <x:c r="H32" s="38" t="n">
        <x:f>'06_Consolidated_Forecast'!K19</x:f>
        <x:v>0.46662200040905855</x:v>
      </x:c>
      <x:c r="I32" s="38" t="n">
        <x:f>'06_Consolidated_Forecast'!L19</x:f>
        <x:v>0.46834379197119913</x:v>
      </x:c>
      <x:c r="J32" s="38" t="n">
        <x:f>'06_Consolidated_Forecast'!M19</x:f>
        <x:v>0.46996657898404826</x:v>
      </x:c>
      <x:c r="K32" s="38" t="n">
        <x:f>'06_Consolidated_Forecast'!N19</x:f>
        <x:v>0.4711475383871648</x:v>
      </x:c>
      <x:c r="L32" s="38" t="n">
        <x:f>'06_Consolidated_Forecast'!O19</x:f>
        <x:v>0.4712754648943589</x:v>
      </x:c>
      <x:c r="M32" s="12"/>
    </x:row>
    <x:row r="33">
      <x:c r="A33" s="12" t="str">
        <x:v>Operating Income</x:v>
      </x:c>
      <x:c r="B33" s="44"/>
      <x:c r="C33" s="44" t="n">
        <x:f>C31*C32</x:f>
        <x:v>188800.69464592895</x:v>
      </x:c>
      <x:c r="D33" s="44" t="n">
        <x:f>D31*D32</x:f>
        <x:v>230075.67481877876</x:v>
      </x:c>
      <x:c r="E33" s="44" t="n">
        <x:f>E31*E32</x:f>
        <x:v>275829.8867731715</x:v>
      </x:c>
      <x:c r="F33" s="44" t="n">
        <x:f>F31*F32</x:f>
        <x:v>323318.8039720687</x:v>
      </x:c>
      <x:c r="G33" s="44" t="n">
        <x:f>G31*G32</x:f>
        <x:v>369709.63338705414</x:v>
      </x:c>
      <x:c r="H33" s="44" t="n">
        <x:f>H31*H32</x:f>
        <x:v>412658.19194015267</x:v>
      </x:c>
      <x:c r="I33" s="44" t="n">
        <x:f>I31*I32</x:f>
        <x:v>453291.80298344797</x:v>
      </x:c>
      <x:c r="J33" s="44" t="n">
        <x:f>J31*J32</x:f>
        <x:v>489489.4116982012</x:v>
      </x:c>
      <x:c r="K33" s="44" t="n">
        <x:f>K31*K32</x:f>
        <x:v>520230.600349417</x:v>
      </x:c>
      <x:c r="L33" s="44" t="n">
        <x:f>L31*L32</x:f>
        <x:v>545038.2350402096</x:v>
      </x:c>
      <x:c r="M33" s="12"/>
    </x:row>
    <x:row r="34">
      <x:c r="A34" s="12" t="str">
        <x:v>Forecast Tax Rate</x:v>
      </x:c>
      <x:c r="B34" s="38"/>
      <x:c r="C34" s="38" t="n">
        <x:f>'06_Consolidated_Forecast'!F22</x:f>
        <x:v>0.2</x:v>
      </x:c>
      <x:c r="D34" s="38" t="n">
        <x:f>'06_Consolidated_Forecast'!G22</x:f>
        <x:v>0.195</x:v>
      </x:c>
      <x:c r="E34" s="38" t="n">
        <x:f>'06_Consolidated_Forecast'!H22</x:f>
        <x:v>0.19</x:v>
      </x:c>
      <x:c r="F34" s="38" t="n">
        <x:f>'06_Consolidated_Forecast'!I22</x:f>
        <x:v>0.19</x:v>
      </x:c>
      <x:c r="G34" s="38" t="n">
        <x:f>'06_Consolidated_Forecast'!J22</x:f>
        <x:v>0.19</x:v>
      </x:c>
      <x:c r="H34" s="38" t="n">
        <x:f>'06_Consolidated_Forecast'!K22</x:f>
        <x:v>0.19</x:v>
      </x:c>
      <x:c r="I34" s="38" t="n">
        <x:f>'06_Consolidated_Forecast'!L22</x:f>
        <x:v>0.19</x:v>
      </x:c>
      <x:c r="J34" s="38" t="n">
        <x:f>'06_Consolidated_Forecast'!M22</x:f>
        <x:v>0.19</x:v>
      </x:c>
      <x:c r="K34" s="38" t="n">
        <x:f>'06_Consolidated_Forecast'!N22</x:f>
        <x:v>0.19</x:v>
      </x:c>
      <x:c r="L34" s="38" t="n">
        <x:f>'06_Consolidated_Forecast'!O22</x:f>
        <x:v>0.19</x:v>
      </x:c>
      <x:c r="M34" s="12"/>
    </x:row>
    <x:row r="35">
      <x:c r="A35" s="12" t="str">
        <x:v>NOPAT</x:v>
      </x:c>
      <x:c r="B35" s="44"/>
      <x:c r="C35" s="44" t="n">
        <x:f>C33*(1-C34)</x:f>
        <x:v>151040.55571674317</x:v>
      </x:c>
      <x:c r="D35" s="44" t="n">
        <x:f>D33*(1-D34)</x:f>
        <x:v>185210.91822911688</x:v>
      </x:c>
      <x:c r="E35" s="44" t="n">
        <x:f>E33*(1-E34)</x:f>
        <x:v>223422.20828626893</x:v>
      </x:c>
      <x:c r="F35" s="44" t="n">
        <x:f>F33*(1-F34)</x:f>
        <x:v>261888.23121737567</x:v>
      </x:c>
      <x:c r="G35" s="44" t="n">
        <x:f>G33*(1-G34)</x:f>
        <x:v>299464.80304351385</x:v>
      </x:c>
      <x:c r="H35" s="44" t="n">
        <x:f>H33*(1-H34)</x:f>
        <x:v>334253.1354715237</x:v>
      </x:c>
      <x:c r="I35" s="44" t="n">
        <x:f>I33*(1-I34)</x:f>
        <x:v>367166.36041659286</x:v>
      </x:c>
      <x:c r="J35" s="44" t="n">
        <x:f>J33*(1-J34)</x:f>
        <x:v>396486.423475543</x:v>
      </x:c>
      <x:c r="K35" s="44" t="n">
        <x:f>K33*(1-K34)</x:f>
        <x:v>421386.7862830278</x:v>
      </x:c>
      <x:c r="L35" s="44" t="n">
        <x:f>L33*(1-L34)</x:f>
        <x:v>441480.9703825698</x:v>
      </x:c>
      <x:c r="M35" s="12"/>
    </x:row>
    <x:row r="36">
      <x:c r="A36" s="12" t="str">
        <x:v>D&amp;A and Other/Revenue</x:v>
      </x:c>
      <x:c r="B36" s="38"/>
      <x:c r="C36" s="38" t="n">
        <x:f>'06_Consolidated_Forecast'!F27</x:f>
        <x:v>0.12</x:v>
      </x:c>
      <x:c r="D36" s="38" t="n">
        <x:f>'06_Consolidated_Forecast'!G27</x:f>
        <x:v>0.128</x:v>
      </x:c>
      <x:c r="E36" s="38" t="n">
        <x:f>'06_Consolidated_Forecast'!H27</x:f>
        <x:v>0.133</x:v>
      </x:c>
      <x:c r="F36" s="38" t="n">
        <x:f>'06_Consolidated_Forecast'!I27</x:f>
        <x:v>0.133</x:v>
      </x:c>
      <x:c r="G36" s="38" t="n">
        <x:f>'06_Consolidated_Forecast'!J27</x:f>
        <x:v>0.13</x:v>
      </x:c>
      <x:c r="H36" s="38" t="n">
        <x:f>'06_Consolidated_Forecast'!K27</x:f>
        <x:v>0.125</x:v>
      </x:c>
      <x:c r="I36" s="38" t="n">
        <x:f>'06_Consolidated_Forecast'!L27</x:f>
        <x:v>0.12</x:v>
      </x:c>
      <x:c r="J36" s="38" t="n">
        <x:f>'06_Consolidated_Forecast'!M27</x:f>
        <x:v>0.115</x:v>
      </x:c>
      <x:c r="K36" s="38" t="n">
        <x:f>'06_Consolidated_Forecast'!N27</x:f>
        <x:v>0.11</x:v>
      </x:c>
      <x:c r="L36" s="38" t="n">
        <x:f>'06_Consolidated_Forecast'!O27</x:f>
        <x:v>0.105</x:v>
      </x:c>
      <x:c r="M36" s="12"/>
    </x:row>
    <x:row r="37">
      <x:c r="A37" s="12" t="str">
        <x:v>D&amp;A and Other</x:v>
      </x:c>
      <x:c r="B37" s="44"/>
      <x:c r="C37" s="44" t="n">
        <x:f>C31*C36</x:f>
        <x:v>49227.79261599651</x:v>
      </x:c>
      <x:c r="D37" s="44" t="n">
        <x:f>D31*D36</x:f>
        <x:v>64062.16407609736</x:v>
      </x:c>
      <x:c r="E37" s="44" t="n">
        <x:f>E31*E36</x:f>
        <x:v>79486.45358167545</x:v>
      </x:c>
      <x:c r="F37" s="44" t="n">
        <x:f>F31*F36</x:f>
        <x:v>92684.83342713077</x:v>
      </x:c>
      <x:c r="G37" s="44" t="n">
        <x:f>G31*G36</x:f>
        <x:v>103307.15155438287</x:v>
      </x:c>
      <x:c r="H37" s="44" t="n">
        <x:f>H31*H36</x:f>
        <x:v>110544.0248151611</x:v>
      </x:c>
      <x:c r="I37" s="44" t="n">
        <x:f>I31*I36</x:f>
        <x:v>116143.34873335694</x:v>
      </x:c>
      <x:c r="J37" s="44" t="n">
        <x:f>J31*J36</x:f>
        <x:v>119777.20302362989</x:v>
      </x:c>
      <x:c r="K37" s="44" t="n">
        <x:f>K31*K36</x:f>
        <x:v>121459.54584487506</x:v>
      </x:c>
      <x:c r="L37" s="44" t="n">
        <x:f>L31*L36</x:f>
        <x:v>121434.31802046062</x:v>
      </x:c>
      <x:c r="M37" s="12"/>
    </x:row>
    <x:row r="38">
      <x:c r="A38" s="12" t="str">
        <x:v>Total CapEx/Revenue</x:v>
      </x:c>
      <x:c r="B38" s="38"/>
      <x:c r="C38" s="38" t="n">
        <x:f>'06_Consolidated_Forecast'!F38</x:f>
        <x:v>0.43</x:v>
      </x:c>
      <x:c r="D38" s="38" t="n">
        <x:f>'06_Consolidated_Forecast'!G38</x:f>
        <x:v>0.4</x:v>
      </x:c>
      <x:c r="E38" s="38" t="n">
        <x:f>'06_Consolidated_Forecast'!H38</x:f>
        <x:v>0.35</x:v>
      </x:c>
      <x:c r="F38" s="38" t="n">
        <x:f>'06_Consolidated_Forecast'!I38</x:f>
        <x:v>0.3</x:v>
      </x:c>
      <x:c r="G38" s="38" t="n">
        <x:f>'06_Consolidated_Forecast'!J38</x:f>
        <x:v>0.265</x:v>
      </x:c>
      <x:c r="H38" s="38" t="n">
        <x:f>'06_Consolidated_Forecast'!K38</x:f>
        <x:v>0.235</x:v>
      </x:c>
      <x:c r="I38" s="38" t="n">
        <x:f>'06_Consolidated_Forecast'!L38</x:f>
        <x:v>0.21</x:v>
      </x:c>
      <x:c r="J38" s="38" t="n">
        <x:f>'06_Consolidated_Forecast'!M38</x:f>
        <x:v>0.19</x:v>
      </x:c>
      <x:c r="K38" s="38" t="n">
        <x:f>'06_Consolidated_Forecast'!N38</x:f>
        <x:v>0.175</x:v>
      </x:c>
      <x:c r="L38" s="38" t="n">
        <x:f>'06_Consolidated_Forecast'!O38</x:f>
        <x:v>0.16</x:v>
      </x:c>
      <x:c r="M38" s="12"/>
    </x:row>
    <x:row r="39">
      <x:c r="A39" s="12" t="str">
        <x:v>Total CapEx</x:v>
      </x:c>
      <x:c r="B39" s="44"/>
      <x:c r="C39" s="44" t="n">
        <x:f>C31*C38</x:f>
        <x:v>176399.59020732084</x:v>
      </x:c>
      <x:c r="D39" s="44" t="n">
        <x:f>D31*D38</x:f>
        <x:v>200194.26273780427</x:v>
      </x:c>
      <x:c r="E39" s="44" t="n">
        <x:f>E31*E38</x:f>
        <x:v>209174.87784651434</x:v>
      </x:c>
      <x:c r="F39" s="44" t="n">
        <x:f>F31*F38</x:f>
        <x:v>209063.53404615962</x:v>
      </x:c>
      <x:c r="G39" s="44" t="n">
        <x:f>G31*G38</x:f>
        <x:v>210587.65509162663</x:v>
      </x:c>
      <x:c r="H39" s="44" t="n">
        <x:f>H31*H38</x:f>
        <x:v>207822.76665250285</x:v>
      </x:c>
      <x:c r="I39" s="44" t="n">
        <x:f>I31*I38</x:f>
        <x:v>203250.86028337464</x:v>
      </x:c>
      <x:c r="J39" s="44" t="n">
        <x:f>J31*J38</x:f>
        <x:v>197892.7702129537</x:v>
      </x:c>
      <x:c r="K39" s="44" t="n">
        <x:f>K31*K38</x:f>
        <x:v>193231.0956623012</x:v>
      </x:c>
      <x:c r="L39" s="44" t="n">
        <x:f>L31*L38</x:f>
        <x:v>185042.7703168924</x:v>
      </x:c>
      <x:c r="M39" s="12"/>
    </x:row>
    <x:row r="40">
      <x:c r="A40" s="12" t="str">
        <x:v>Operating NWC/Revenue</x:v>
      </x:c>
      <x:c r="B40" s="38" t="n">
        <x:f>'06_Consolidated_Forecast'!E33</x:f>
        <x:v>-0.07894491003167199</x:v>
      </x:c>
      <x:c r="C40" s="38" t="n">
        <x:f>'06_Consolidated_Forecast'!F33</x:f>
        <x:v>-0.085</x:v>
      </x:c>
      <x:c r="D40" s="38" t="n">
        <x:f>'06_Consolidated_Forecast'!G33</x:f>
        <x:v>-0.09</x:v>
      </x:c>
      <x:c r="E40" s="38" t="n">
        <x:f>'06_Consolidated_Forecast'!H33</x:f>
        <x:v>-0.095</x:v>
      </x:c>
      <x:c r="F40" s="38" t="n">
        <x:f>'06_Consolidated_Forecast'!I33</x:f>
        <x:v>-0.1</x:v>
      </x:c>
      <x:c r="G40" s="38" t="n">
        <x:f>'06_Consolidated_Forecast'!J33</x:f>
        <x:v>-0.1</x:v>
      </x:c>
      <x:c r="H40" s="38" t="n">
        <x:f>'06_Consolidated_Forecast'!K33</x:f>
        <x:v>-0.1</x:v>
      </x:c>
      <x:c r="I40" s="38" t="n">
        <x:f>'06_Consolidated_Forecast'!L33</x:f>
        <x:v>-0.1</x:v>
      </x:c>
      <x:c r="J40" s="38" t="n">
        <x:f>'06_Consolidated_Forecast'!M33</x:f>
        <x:v>-0.1</x:v>
      </x:c>
      <x:c r="K40" s="38" t="n">
        <x:f>'06_Consolidated_Forecast'!N33</x:f>
        <x:v>-0.1</x:v>
      </x:c>
      <x:c r="L40" s="38" t="n">
        <x:f>'06_Consolidated_Forecast'!O33</x:f>
        <x:v>-0.1</x:v>
      </x:c>
      <x:c r="M40" s="12"/>
    </x:row>
    <x:row r="41">
      <x:c r="A41" s="12" t="str">
        <x:v>Ending Operating NWC</x:v>
      </x:c>
      <x:c r="B41" s="62" t="n">
        <x:f>'06_Consolidated_Forecast'!E58</x:f>
        <x:v>-26197</x:v>
      </x:c>
      <x:c r="C41" s="44" t="n">
        <x:f>C31*C40</x:f>
        <x:v>-34869.68643633087</x:v>
      </x:c>
      <x:c r="D41" s="44" t="n">
        <x:f>D31*D40</x:f>
        <x:v>-45043.70911600596</x:v>
      </x:c>
      <x:c r="E41" s="44" t="n">
        <x:f>E31*E40</x:f>
        <x:v>-56776.03827262532</x:v>
      </x:c>
      <x:c r="F41" s="44" t="n">
        <x:f>F31*F40</x:f>
        <x:v>-69687.84468205321</x:v>
      </x:c>
      <x:c r="G41" s="44" t="n">
        <x:f>G31*G40</x:f>
        <x:v>-79467.0396572176</x:v>
      </x:c>
      <x:c r="H41" s="44" t="n">
        <x:f>H31*H40</x:f>
        <x:v>-88435.21985212888</x:v>
      </x:c>
      <x:c r="I41" s="44" t="n">
        <x:f>I31*I40</x:f>
        <x:v>-96786.12394446413</x:v>
      </x:c>
      <x:c r="J41" s="44" t="n">
        <x:f>J31*J40</x:f>
        <x:v>-104154.08958576512</x:v>
      </x:c>
      <x:c r="K41" s="44" t="n">
        <x:f>K31*K40</x:f>
        <x:v>-110417.76894988642</x:v>
      </x:c>
      <x:c r="L41" s="44" t="n">
        <x:f>L31*L40</x:f>
        <x:v>-115651.73144805775</x:v>
      </x:c>
      <x:c r="M41" s="12"/>
    </x:row>
    <x:row r="42">
      <x:c r="A42" s="12" t="str">
        <x:v>Change in Operating NWC</x:v>
      </x:c>
      <x:c r="B42" s="44"/>
      <x:c r="C42" s="44" t="n">
        <x:f>C41-B41</x:f>
        <x:v>-8672.68643633087</x:v>
      </x:c>
      <x:c r="D42" s="44" t="n">
        <x:f>D41-C41</x:f>
        <x:v>-10174.022679675087</x:v>
      </x:c>
      <x:c r="E42" s="44" t="n">
        <x:f>E41-D41</x:f>
        <x:v>-11732.329156619366</x:v>
      </x:c>
      <x:c r="F42" s="44" t="n">
        <x:f>F41-E41</x:f>
        <x:v>-12911.806409427889</x:v>
      </x:c>
      <x:c r="G42" s="44" t="n">
        <x:f>G41-F41</x:f>
        <x:v>-9779.194975164384</x:v>
      </x:c>
      <x:c r="H42" s="44" t="n">
        <x:f>H41-G41</x:f>
        <x:v>-8968.180194911285</x:v>
      </x:c>
      <x:c r="I42" s="44" t="n">
        <x:f>I41-H41</x:f>
        <x:v>-8350.904092335244</x:v>
      </x:c>
      <x:c r="J42" s="44" t="n">
        <x:f>J41-I41</x:f>
        <x:v>-7367.965641300994</x:v>
      </x:c>
      <x:c r="K42" s="44" t="n">
        <x:f>K41-J41</x:f>
        <x:v>-6263.679364121301</x:v>
      </x:c>
      <x:c r="L42" s="44" t="n">
        <x:f>L41-K41</x:f>
        <x:v>-5233.962498171328</x:v>
      </x:c>
      <x:c r="M42" s="12"/>
    </x:row>
    <x:row r="43">
      <x:c r="A43" s="12" t="str">
        <x:v>Lease-Adjusted UFCF</x:v>
      </x:c>
      <x:c r="B43" s="44"/>
      <x:c r="C43" s="44" t="n">
        <x:f>C35+C37-C39-C42</x:f>
        <x:v>32541.444561749697</x:v>
      </x:c>
      <x:c r="D43" s="44" t="n">
        <x:f>D35+D37-D39-D42</x:f>
        <x:v>59252.84224708507</x:v>
      </x:c>
      <x:c r="E43" s="44" t="n">
        <x:f>E35+E37-E39-E42</x:f>
        <x:v>105466.11317804943</x:v>
      </x:c>
      <x:c r="F43" s="44" t="n">
        <x:f>F35+F37-F39-F42</x:f>
        <x:v>158421.3370077747</x:v>
      </x:c>
      <x:c r="G43" s="44" t="n">
        <x:f>G35+G37-G39-G42</x:f>
        <x:v>201963.49448143446</x:v>
      </x:c>
      <x:c r="H43" s="44" t="n">
        <x:f>H35+H37-H39-H42</x:f>
        <x:v>245942.5738290932</x:v>
      </x:c>
      <x:c r="I43" s="44" t="n">
        <x:f>I35+I37-I39-I42</x:f>
        <x:v>288409.7529589104</x:v>
      </x:c>
      <x:c r="J43" s="44" t="n">
        <x:f>J35+J37-J39-J42</x:f>
        <x:v>325738.8219275202</x:v>
      </x:c>
      <x:c r="K43" s="44" t="n">
        <x:f>K35+K37-K39-K42</x:f>
        <x:v>355878.915829723</x:v>
      </x:c>
      <x:c r="L43" s="44" t="n">
        <x:f>L35+L37-L39-L42</x:f>
        <x:v>383106.4805843094</x:v>
      </x:c>
      <x:c r="M43" s="12"/>
    </x:row>
    <x:row r="44">
      <x:c r="A44" s="12"/>
      <x:c r="B44" s="12"/>
      <x:c r="C44" s="12"/>
      <x:c r="D44" s="12"/>
      <x:c r="E44" s="12"/>
      <x:c r="F44" s="12"/>
      <x:c r="G44" s="12"/>
      <x:c r="H44" s="12"/>
      <x:c r="I44" s="12"/>
      <x:c r="J44" s="12"/>
      <x:c r="K44" s="12"/>
      <x:c r="L44" s="12"/>
      <x:c r="M44" s="12"/>
    </x:row>
    <x:row r="45">
      <x:c r="A45" s="12" t="str">
        <x:v>Discount Period</x:v>
      </x:c>
      <x:c r="B45" s="12"/>
      <x:c r="C45" s="180" t="n">
        <x:f>'07_DCF'!B8</x:f>
        <x:v>0.4</x:v>
      </x:c>
      <x:c r="D45" s="180" t="n">
        <x:f>'07_DCF'!C8</x:f>
        <x:v>1.4</x:v>
      </x:c>
      <x:c r="E45" s="180" t="n">
        <x:f>'07_DCF'!D8</x:f>
        <x:v>2.4005474452554747</x:v>
      </x:c>
      <x:c r="F45" s="180" t="n">
        <x:f>'07_DCF'!E8</x:f>
        <x:v>3.40041067761807</x:v>
      </x:c>
      <x:c r="G45" s="180" t="n">
        <x:f>'07_DCF'!F8</x:f>
        <x:v>4.400328587075575</x:v>
      </x:c>
      <x:c r="H45" s="180" t="n">
        <x:f>'07_DCF'!G8</x:f>
        <x:v>5.400273847558192</x:v>
      </x:c>
      <x:c r="I45" s="180" t="n">
        <x:f>'07_DCF'!H8</x:f>
        <x:v>6.400469299960892</x:v>
      </x:c>
      <x:c r="J45" s="180" t="n">
        <x:f>'07_DCF'!I8</x:f>
        <x:v>7.40041067761807</x:v>
      </x:c>
      <x:c r="K45" s="180" t="n">
        <x:f>'07_DCF'!J8</x:f>
        <x:v>8.400365074536051</x:v>
      </x:c>
      <x:c r="L45" s="180" t="n">
        <x:f>'07_DCF'!K8</x:f>
        <x:v>9.400328587075576</x:v>
      </x:c>
      <x:c r="M45" s="12"/>
    </x:row>
    <x:row r="46">
      <x:c r="A46" s="12" t="str">
        <x:v>Discount Factor</x:v>
      </x:c>
      <x:c r="B46" s="38"/>
      <x:c r="C46" s="128" t="n">
        <x:f>'07_DCF'!B9</x:f>
        <x:v>0.9644495432610442</x:v>
      </x:c>
      <x:c r="D46" s="128" t="n">
        <x:f>'07_DCF'!C9</x:f>
        <x:v>0.8810048335696314</x:v>
      </x:c>
      <x:c r="E46" s="128" t="n">
        <x:f>'07_DCF'!D9</x:f>
        <x:v>0.8047399380736955</x:v>
      </x:c>
      <x:c r="F46" s="128" t="n">
        <x:f>'07_DCF'!E9</x:f>
        <x:v>0.7351224903904002</x:v>
      </x:c>
      <x:c r="G46" s="128" t="n">
        <x:f>'07_DCF'!F9</x:f>
        <x:v>0.6715242731325498</x:v>
      </x:c>
      <x:c r="H46" s="128" t="n">
        <x:f>'07_DCF'!G9</x:f>
        <x:v>0.6134266590427084</x:v>
      </x:c>
      <x:c r="I46" s="128" t="n">
        <x:f>'07_DCF'!H9</x:f>
        <x:v>0.5603427330243198</x:v>
      </x:c>
      <x:c r="J46" s="128" t="n">
        <x:f>'07_DCF'!I9</x:f>
        <x:v>0.5118642842380593</x:v>
      </x:c>
      <x:c r="K46" s="128" t="n">
        <x:f>'07_DCF'!J9</x:f>
        <x:v>0.4675794319274229</x:v>
      </x:c>
      <x:c r="L46" s="128" t="n">
        <x:f>'07_DCF'!K9</x:f>
        <x:v>0.4271256103284949</x:v>
      </x:c>
      <x:c r="M46" s="12"/>
    </x:row>
    <x:row r="47">
      <x:c r="A47" s="12" t="str">
        <x:v>Present Value of UFCF</x:v>
      </x:c>
      <x:c r="B47" s="44"/>
      <x:c r="C47" s="44" t="n">
        <x:f>C43*C46</x:f>
        <x:v>31384.581344634084</x:v>
      </x:c>
      <x:c r="D47" s="44" t="n">
        <x:f>D43*D46</x:f>
        <x:v>52202.04042242081</x:v>
      </x:c>
      <x:c r="E47" s="44" t="n">
        <x:f>E43*E46</x:f>
        <x:v>84872.79338777687</x:v>
      </x:c>
      <x:c r="F47" s="44" t="n">
        <x:f>F43*F46</x:f>
        <x:v>116459.08779213222</x:v>
      </x:c>
      <x:c r="G47" s="44" t="n">
        <x:f>G43*G46</x:f>
        <x:v>135623.38883095502</x:v>
      </x:c>
      <x:c r="H47" s="44" t="n">
        <x:f>H43*H46</x:f>
        <x:v>150867.7313803453</x:v>
      </x:c>
      <x:c r="I47" s="44" t="n">
        <x:f>I43*I46</x:f>
        <x:v>161608.30920386477</x:v>
      </x:c>
      <x:c r="J47" s="44" t="n">
        <x:f>J43*J46</x:f>
        <x:v>166734.0689344788</x:v>
      </x:c>
      <x:c r="K47" s="44" t="n">
        <x:f>K43*K46</x:f>
        <x:v>166401.66129860902</x:v>
      </x:c>
      <x:c r="L47" s="44" t="n">
        <x:f>L43*L46</x:f>
        <x:v>163634.5893403748</x:v>
      </x:c>
      <x:c r="M47" s="12"/>
    </x:row>
    <x:row r="48">
      <x:c r="A48" s="12"/>
      <x:c r="B48" s="12"/>
      <x:c r="C48" s="12"/>
      <x:c r="D48" s="12"/>
      <x:c r="E48" s="12"/>
      <x:c r="F48" s="12"/>
      <x:c r="G48" s="12"/>
      <x:c r="H48" s="12"/>
      <x:c r="I48" s="12"/>
      <x:c r="J48" s="12"/>
      <x:c r="K48" s="12"/>
      <x:c r="L48" s="12"/>
      <x:c r="M48" s="12"/>
    </x:row>
    <x:row r="49" ht="20" customHeight="1">
      <x:c r="A49" s="27" t="str">
        <x:v>Reverse DCF Output</x:v>
      </x:c>
      <x:c r="B49" s="27"/>
      <x:c r="C49" s="27"/>
      <x:c r="D49" s="27"/>
      <x:c r="E49" s="27"/>
      <x:c r="F49" s="27"/>
      <x:c r="G49" s="27"/>
      <x:c r="H49" s="27"/>
      <x:c r="I49" s="27"/>
      <x:c r="J49" s="27"/>
      <x:c r="K49" s="27"/>
      <x:c r="L49" s="27"/>
      <x:c r="M49" s="12"/>
    </x:row>
    <x:row r="50">
      <x:c r="A50" s="12" t="str">
        <x:v>Terminal Growth Rate</x:v>
      </x:c>
      <x:c r="B50" s="128" t="n">
        <x:f>'00_Assumptions'!$B$48</x:f>
        <x:v>0.03</x:v>
      </x:c>
      <x:c r="C50" s="38"/>
      <x:c r="D50" s="38"/>
      <x:c r="E50" s="38"/>
      <x:c r="F50" s="38"/>
      <x:c r="G50" s="38"/>
      <x:c r="H50" s="38"/>
      <x:c r="I50" s="38"/>
      <x:c r="J50" s="38"/>
      <x:c r="K50" s="38"/>
      <x:c r="L50" s="38"/>
      <x:c r="M50" s="12"/>
    </x:row>
    <x:row r="51">
      <x:c r="A51" s="12" t="str">
        <x:v>WACC</x:v>
      </x:c>
      <x:c r="B51" s="128" t="n">
        <x:f>'00_Assumptions'!$B$46</x:f>
        <x:v>0.0947153823814037</x:v>
      </x:c>
      <x:c r="C51" s="38"/>
      <x:c r="D51" s="38"/>
      <x:c r="E51" s="38"/>
      <x:c r="F51" s="38"/>
      <x:c r="G51" s="38"/>
      <x:c r="H51" s="38"/>
      <x:c r="I51" s="38"/>
      <x:c r="J51" s="38"/>
      <x:c r="K51" s="38"/>
      <x:c r="L51" s="38"/>
      <x:c r="M51" s="12"/>
    </x:row>
    <x:row r="52">
      <x:c r="A52" s="12" t="str">
        <x:v>FY2037E UFCF</x:v>
      </x:c>
      <x:c r="B52" s="44" t="n">
        <x:f>L43*(1+B50)</x:f>
        <x:v>394599.67500183865</x:v>
      </x:c>
      <x:c r="C52" s="44"/>
      <x:c r="D52" s="44"/>
      <x:c r="E52" s="44"/>
      <x:c r="F52" s="44"/>
      <x:c r="G52" s="44"/>
      <x:c r="H52" s="44"/>
      <x:c r="I52" s="44"/>
      <x:c r="J52" s="44"/>
      <x:c r="K52" s="44"/>
      <x:c r="L52" s="44"/>
      <x:c r="M52" s="12"/>
    </x:row>
    <x:row r="53">
      <x:c r="A53" s="12" t="str">
        <x:v>Terminal Value at FY2036E</x:v>
      </x:c>
      <x:c r="B53" s="44" t="n">
        <x:f>B52/(B51-B50)</x:f>
        <x:v>6097463.392493666</x:v>
      </x:c>
      <x:c r="C53" s="44"/>
      <x:c r="D53" s="44"/>
      <x:c r="E53" s="44"/>
      <x:c r="F53" s="44"/>
      <x:c r="G53" s="44"/>
      <x:c r="H53" s="44"/>
      <x:c r="I53" s="44"/>
      <x:c r="J53" s="44"/>
      <x:c r="K53" s="44"/>
      <x:c r="L53" s="44"/>
      <x:c r="M53" s="12"/>
    </x:row>
    <x:row r="54">
      <x:c r="A54" s="12" t="str">
        <x:v>Terminal Discount Factor</x:v>
      </x:c>
      <x:c r="B54" s="38" t="n">
        <x:f>'07_DCF'!$B$18</x:f>
        <x:v>0.40826244748414</x:v>
      </x:c>
      <x:c r="C54" s="38"/>
      <x:c r="D54" s="38"/>
      <x:c r="E54" s="38"/>
      <x:c r="F54" s="38"/>
      <x:c r="G54" s="38"/>
      <x:c r="H54" s="38"/>
      <x:c r="I54" s="38"/>
      <x:c r="J54" s="38"/>
      <x:c r="K54" s="38"/>
      <x:c r="L54" s="38"/>
      <x:c r="M54" s="12"/>
    </x:row>
    <x:row r="55">
      <x:c r="A55" s="12" t="str">
        <x:v>Present Value of Terminal Value</x:v>
      </x:c>
      <x:c r="B55" s="44" t="n">
        <x:f>B53*B54</x:f>
        <x:v>2489365.3280644114</x:v>
      </x:c>
      <x:c r="C55" s="44"/>
      <x:c r="D55" s="44"/>
      <x:c r="E55" s="44"/>
      <x:c r="F55" s="44"/>
      <x:c r="G55" s="44"/>
      <x:c r="H55" s="44"/>
      <x:c r="I55" s="44"/>
      <x:c r="J55" s="44"/>
      <x:c r="K55" s="44"/>
      <x:c r="L55" s="44"/>
      <x:c r="M55" s="12"/>
    </x:row>
    <x:row r="56">
      <x:c r="A56" s="12" t="str">
        <x:v>Present Value of Explicit UFCF</x:v>
      </x:c>
      <x:c r="B56" s="44" t="n">
        <x:f>SUM(C47:L47)</x:f>
        <x:v>1229788.2519355917</x:v>
      </x:c>
      <x:c r="C56" s="44"/>
      <x:c r="D56" s="44"/>
      <x:c r="E56" s="44"/>
      <x:c r="F56" s="44"/>
      <x:c r="G56" s="44"/>
      <x:c r="H56" s="44"/>
      <x:c r="I56" s="44"/>
      <x:c r="J56" s="44"/>
      <x:c r="K56" s="44"/>
      <x:c r="L56" s="44"/>
      <x:c r="M56" s="12"/>
    </x:row>
    <x:row r="57">
      <x:c r="A57" s="12" t="str">
        <x:v>Reverse DCF Enterprise Value</x:v>
      </x:c>
      <x:c r="B57" s="44" t="n">
        <x:f>B55+B56</x:f>
        <x:v>3719153.580000003</x:v>
      </x:c>
      <x:c r="C57" s="44"/>
      <x:c r="D57" s="44"/>
      <x:c r="E57" s="44"/>
      <x:c r="F57" s="44"/>
      <x:c r="G57" s="44"/>
      <x:c r="H57" s="44"/>
      <x:c r="I57" s="44"/>
      <x:c r="J57" s="44"/>
      <x:c r="K57" s="44"/>
      <x:c r="L57" s="44"/>
      <x:c r="M57" s="12"/>
    </x:row>
    <x:row r="58">
      <x:c r="A58" s="12" t="str">
        <x:v>Market-Implied Enterprise Value</x:v>
      </x:c>
      <x:c r="B58" s="44" t="n">
        <x:f>$B$14</x:f>
        <x:v>3719153.58</x:v>
      </x:c>
      <x:c r="C58" s="44"/>
      <x:c r="D58" s="44"/>
      <x:c r="E58" s="44"/>
      <x:c r="F58" s="44"/>
      <x:c r="G58" s="44"/>
      <x:c r="H58" s="44"/>
      <x:c r="I58" s="44"/>
      <x:c r="J58" s="44"/>
      <x:c r="K58" s="44"/>
      <x:c r="L58" s="44"/>
      <x:c r="M58" s="12"/>
    </x:row>
    <x:row r="59">
      <x:c r="A59" s="12" t="str">
        <x:v>Valuation Gap</x:v>
      </x:c>
      <x:c r="B59" s="44" t="n">
        <x:f>B57-B58</x:f>
        <x:v>2.7939677238464355e-9</x:v>
      </x:c>
      <x:c r="C59" s="44"/>
      <x:c r="D59" s="44"/>
      <x:c r="E59" s="44"/>
      <x:c r="F59" s="44"/>
      <x:c r="G59" s="44"/>
      <x:c r="H59" s="44"/>
      <x:c r="I59" s="44"/>
      <x:c r="J59" s="44"/>
      <x:c r="K59" s="44"/>
      <x:c r="L59" s="44"/>
      <x:c r="M59" s="12"/>
    </x:row>
    <x:row r="60">
      <x:c r="A60" s="12" t="str">
        <x:v>Valuation Gap %</x:v>
      </x:c>
      <x:c r="B60" s="38" t="n">
        <x:f>B59/B58</x:f>
        <x:v>7.512375232018344e-16</x:v>
      </x:c>
      <x:c r="C60" s="38"/>
      <x:c r="D60" s="38"/>
      <x:c r="E60" s="38"/>
      <x:c r="F60" s="38"/>
      <x:c r="G60" s="38"/>
      <x:c r="H60" s="38"/>
      <x:c r="I60" s="38"/>
      <x:c r="J60" s="38"/>
      <x:c r="K60" s="38"/>
      <x:c r="L60" s="38"/>
      <x:c r="M60" s="12"/>
    </x:row>
    <x:row r="61">
      <x:c r="A61" s="12"/>
      <x:c r="B61" s="12"/>
      <x:c r="C61" s="12"/>
      <x:c r="D61" s="12"/>
      <x:c r="E61" s="12"/>
      <x:c r="F61" s="12"/>
      <x:c r="G61" s="12"/>
      <x:c r="H61" s="12"/>
      <x:c r="I61" s="12"/>
      <x:c r="J61" s="12"/>
      <x:c r="K61" s="12"/>
      <x:c r="L61" s="12"/>
      <x:c r="M61" s="12"/>
    </x:row>
    <x:row r="62" ht="20" customHeight="1">
      <x:c r="A62" s="27" t="str">
        <x:v>Reverse DCF Summary</x:v>
      </x:c>
      <x:c r="B62" s="27"/>
      <x:c r="C62" s="27"/>
      <x:c r="D62" s="27"/>
      <x:c r="E62" s="27"/>
      <x:c r="F62" s="27"/>
      <x:c r="G62" s="27"/>
      <x:c r="H62" s="27"/>
      <x:c r="I62" s="27"/>
      <x:c r="J62" s="27"/>
      <x:c r="K62" s="27"/>
      <x:c r="L62" s="27"/>
      <x:c r="M62" s="12"/>
    </x:row>
    <x:row r="63">
      <x:c r="A63" s="12" t="str">
        <x:v>Solved Revenue Growth Uplift (pp)</x:v>
      </x:c>
      <x:c r="B63" s="292" t="n">
        <x:f>B17*100</x:f>
        <x:v>7.407189972638601</x:v>
      </x:c>
      <x:c r="C63" s="38"/>
      <x:c r="D63" s="38"/>
      <x:c r="E63" s="38"/>
      <x:c r="F63" s="38"/>
      <x:c r="G63" s="38"/>
      <x:c r="H63" s="38"/>
      <x:c r="I63" s="38"/>
      <x:c r="J63" s="38"/>
      <x:c r="K63" s="38"/>
      <x:c r="L63" s="38"/>
      <x:c r="M63" s="12"/>
    </x:row>
    <x:row r="64">
      <x:c r="A64" s="12" t="str">
        <x:v>Base-Case FY2027E Revenue Growth</x:v>
      </x:c>
      <x:c r="B64" s="38" t="n">
        <x:f>C25</x:f>
        <x:v>0.1621649655405184</x:v>
      </x:c>
      <x:c r="C64" s="38"/>
      <x:c r="D64" s="38"/>
      <x:c r="E64" s="38"/>
      <x:c r="F64" s="38"/>
      <x:c r="G64" s="38"/>
      <x:c r="H64" s="38"/>
      <x:c r="I64" s="38"/>
      <x:c r="J64" s="38"/>
      <x:c r="K64" s="38"/>
      <x:c r="L64" s="38"/>
      <x:c r="M64" s="12"/>
    </x:row>
    <x:row r="65">
      <x:c r="A65" s="12" t="str">
        <x:v>Market-Implied FY2027E Revenue Growth</x:v>
      </x:c>
      <x:c r="B65" s="38" t="n">
        <x:f>C28</x:f>
        <x:v>0.2362368652669044</x:v>
      </x:c>
      <x:c r="C65" s="38"/>
      <x:c r="D65" s="38"/>
      <x:c r="E65" s="38"/>
      <x:c r="F65" s="38"/>
      <x:c r="G65" s="38"/>
      <x:c r="H65" s="38"/>
      <x:c r="I65" s="38"/>
      <x:c r="J65" s="38"/>
      <x:c r="K65" s="38"/>
      <x:c r="L65" s="38"/>
      <x:c r="M65" s="12"/>
    </x:row>
    <x:row r="66">
      <x:c r="A66" s="12" t="str">
        <x:v>Reverse DCF Enterprise Value</x:v>
      </x:c>
      <x:c r="B66" s="44" t="n">
        <x:f>B57</x:f>
        <x:v>3719153.580000003</x:v>
      </x:c>
      <x:c r="C66" s="44"/>
      <x:c r="D66" s="44"/>
      <x:c r="E66" s="44"/>
      <x:c r="F66" s="44"/>
      <x:c r="G66" s="44"/>
      <x:c r="H66" s="44"/>
      <x:c r="I66" s="44"/>
      <x:c r="J66" s="44"/>
      <x:c r="K66" s="44"/>
      <x:c r="L66" s="44"/>
      <x:c r="M66" s="12"/>
    </x:row>
    <x:row r="67">
      <x:c r="A67" s="12" t="str">
        <x:v>Reverse-Implied Equity Value</x:v>
      </x:c>
      <x:c r="B67" s="44" t="n">
        <x:f>B66-SUM($B$8:$B$13)</x:f>
        <x:v>3725456.580000003</x:v>
      </x:c>
      <x:c r="C67" s="44"/>
      <x:c r="D67" s="44"/>
      <x:c r="E67" s="44"/>
      <x:c r="F67" s="44"/>
      <x:c r="G67" s="44"/>
      <x:c r="H67" s="44"/>
      <x:c r="I67" s="44"/>
      <x:c r="J67" s="44"/>
      <x:c r="K67" s="44"/>
      <x:c r="L67" s="44"/>
      <x:c r="M67" s="12"/>
    </x:row>
    <x:row r="68">
      <x:c r="A68" s="12" t="str">
        <x:v>Reverse-Implied Share Price</x:v>
      </x:c>
      <x:c r="B68" s="42" t="n">
        <x:f>B67/$B$6</x:f>
        <x:v>499.8600000000004</x:v>
      </x:c>
      <x:c r="C68" s="12"/>
      <x:c r="D68" s="12"/>
      <x:c r="E68" s="12"/>
      <x:c r="F68" s="12"/>
      <x:c r="G68" s="12"/>
      <x:c r="H68" s="12"/>
      <x:c r="I68" s="12"/>
      <x:c r="J68" s="12"/>
      <x:c r="K68" s="12"/>
      <x:c r="L68" s="12"/>
      <x:c r="M68" s="12"/>
    </x:row>
    <x:row r="69">
      <x:c r="A69" s="12" t="str">
        <x:v>Current Share Price</x:v>
      </x:c>
      <x:c r="B69" s="42" t="n">
        <x:f>$B$5</x:f>
        <x:v>499.86</x:v>
      </x:c>
      <x:c r="C69" s="12"/>
      <x:c r="D69" s="12"/>
      <x:c r="E69" s="12"/>
      <x:c r="F69" s="12"/>
      <x:c r="G69" s="12"/>
      <x:c r="H69" s="12"/>
      <x:c r="I69" s="12"/>
      <x:c r="J69" s="12"/>
      <x:c r="K69" s="12"/>
      <x:c r="L69" s="12"/>
      <x:c r="M69" s="12"/>
    </x:row>
    <x:row r="70">
      <x:c r="A70" s="12" t="str">
        <x:v>Share Price Gap</x:v>
      </x:c>
      <x:c r="B70" s="42" t="n">
        <x:f>B68-B69</x:f>
        <x:v>3.979039320256561e-13</x:v>
      </x:c>
      <x:c r="C70" s="12"/>
      <x:c r="D70" s="12"/>
      <x:c r="E70" s="12"/>
      <x:c r="F70" s="12"/>
      <x:c r="G70" s="12"/>
      <x:c r="H70" s="12"/>
      <x:c r="I70" s="12"/>
      <x:c r="J70" s="12"/>
      <x:c r="K70" s="12"/>
      <x:c r="L70" s="12"/>
      <x:c r="M70" s="12"/>
    </x:row>
    <x:row r="71">
      <x:c r="A71" s="12" t="str">
        <x:v>Share Price Gap %</x:v>
      </x:c>
      <x:c r="B71" s="38" t="n">
        <x:f>B68/B69-1</x:f>
        <x:v>8.881784197001252e-16</x:v>
      </x:c>
      <x:c r="C71" s="38"/>
      <x:c r="D71" s="38"/>
      <x:c r="E71" s="38"/>
      <x:c r="F71" s="38"/>
      <x:c r="G71" s="38"/>
      <x:c r="H71" s="38"/>
      <x:c r="I71" s="38"/>
      <x:c r="J71" s="38"/>
      <x:c r="K71" s="38"/>
      <x:c r="L71" s="38"/>
      <x:c r="M71" s="12"/>
    </x:row>
    <x:row r="72" ht="32" customHeight="1">
      <x:c r="A72" s="97" t="str">
        <x:v>Reverse DCF interpretation: At Microsoft's current share price of $499.86, the market valuation requires approximately 7.41 percentage points of additional FY2027E consolidated revenue growth above the base case. The uplift fades linearly to zero by FY2036E while operating margins, reinvestment intensity, WACC, and terminal growth remain unchanged. The solved valuation gap is 0.00% of market-implied enterprise value.</x:v>
      </x:c>
      <x:c r="B72" s="97"/>
      <x:c r="C72" s="97"/>
      <x:c r="D72" s="97"/>
      <x:c r="E72" s="97"/>
      <x:c r="F72" s="97"/>
      <x:c r="G72" s="97"/>
      <x:c r="H72" s="97"/>
      <x:c r="I72" s="97"/>
      <x:c r="J72" s="97"/>
      <x:c r="K72" s="97"/>
      <x:c r="L72" s="97"/>
      <x:c r="M72" s="12"/>
    </x:row>
    <x:row r="73" ht="32" customHeight="1">
      <x:c r="A73" s="132"/>
      <x:c r="B73" s="132"/>
      <x:c r="C73" s="132"/>
      <x:c r="D73" s="132"/>
      <x:c r="E73" s="132"/>
      <x:c r="F73" s="132"/>
      <x:c r="G73" s="132"/>
      <x:c r="H73" s="132"/>
      <x:c r="I73" s="132"/>
      <x:c r="J73" s="132"/>
      <x:c r="K73" s="132"/>
      <x:c r="L73" s="132"/>
      <x:c r="M73" s="12"/>
    </x:row>
    <x:row r="74">
      <x:c r="A74" s="12"/>
      <x:c r="B74" s="12"/>
      <x:c r="C74" s="12"/>
      <x:c r="D74" s="12"/>
      <x:c r="E74" s="12"/>
      <x:c r="F74" s="12"/>
      <x:c r="G74" s="12"/>
      <x:c r="H74" s="12"/>
      <x:c r="I74" s="12"/>
      <x:c r="J74" s="12"/>
      <x:c r="K74" s="12"/>
      <x:c r="L74" s="12"/>
      <x:c r="M74" s="12"/>
    </x:row>
    <x:row r="75" ht="20" customHeight="1">
      <x:c r="A75" s="27" t="str">
        <x:v>Reverse DCF Validation Checks</x:v>
      </x:c>
      <x:c r="B75" s="27"/>
      <x:c r="C75" s="27"/>
      <x:c r="D75" s="27"/>
      <x:c r="E75" s="27"/>
      <x:c r="F75" s="27"/>
      <x:c r="G75" s="27"/>
      <x:c r="H75" s="27"/>
      <x:c r="I75" s="27"/>
      <x:c r="J75" s="27"/>
      <x:c r="K75" s="27"/>
      <x:c r="L75" s="27"/>
      <x:c r="M75" s="12"/>
    </x:row>
    <x:row r="76">
      <x:c r="A76" s="12" t="str">
        <x:v>Enterprise Value Gap Check</x:v>
      </x:c>
      <x:c r="B76" s="12" t="str">
        <x:f>IF(ABS($B$59)&lt;=1000,"PASS","CHECK")</x:f>
        <x:v>PASS</x:v>
      </x:c>
      <x:c r="C76" s="12"/>
      <x:c r="D76" s="12"/>
      <x:c r="E76" s="12"/>
      <x:c r="F76" s="12"/>
      <x:c r="G76" s="12"/>
      <x:c r="H76" s="12"/>
      <x:c r="I76" s="12"/>
      <x:c r="J76" s="12"/>
      <x:c r="K76" s="12"/>
      <x:c r="L76" s="12"/>
      <x:c r="M76" s="12"/>
    </x:row>
    <x:row r="77">
      <x:c r="A77" s="12" t="str">
        <x:v>Share Price Gap Check</x:v>
      </x:c>
      <x:c r="B77" s="12" t="str">
        <x:f>IF(ABS($B$71)&lt;=0.03%,"PASS","CHECK")</x:f>
        <x:v>PASS</x:v>
      </x:c>
      <x:c r="C77" s="12"/>
      <x:c r="D77" s="12"/>
      <x:c r="E77" s="12"/>
      <x:c r="F77" s="12"/>
      <x:c r="G77" s="12"/>
      <x:c r="H77" s="12"/>
      <x:c r="I77" s="12"/>
      <x:c r="J77" s="12"/>
      <x:c r="K77" s="12"/>
      <x:c r="L77" s="12"/>
      <x:c r="M77" s="12"/>
    </x:row>
    <x:row r="78">
      <x:c r="A78" s="12" t="str">
        <x:v>FY2036E Growth Uplift Check</x:v>
      </x:c>
      <x:c r="B78" s="12" t="str">
        <x:f>IF(ABS($L$28-$L$25)&lt;=0.000001,"PASS","FAIL")</x:f>
        <x:v>PASS</x:v>
      </x:c>
      <x:c r="C78" s="12"/>
      <x:c r="D78" s="12"/>
      <x:c r="E78" s="12"/>
      <x:c r="F78" s="12"/>
      <x:c r="G78" s="12"/>
      <x:c r="H78" s="12"/>
      <x:c r="I78" s="12"/>
      <x:c r="J78" s="12"/>
      <x:c r="K78" s="12"/>
      <x:c r="L78" s="12"/>
      <x:c r="M78" s="12"/>
    </x:row>
    <x:row r="79">
      <x:c r="A79" s="12" t="str">
        <x:v>Terminal Condition Check</x:v>
      </x:c>
      <x:c r="B79" s="12" t="str">
        <x:f>IF($B$51&gt;$B$50,"PASS","FAIL")</x:f>
        <x:v>PASS</x:v>
      </x:c>
      <x:c r="C79" s="12"/>
      <x:c r="D79" s="12"/>
      <x:c r="E79" s="12"/>
      <x:c r="F79" s="12"/>
      <x:c r="G79" s="12"/>
      <x:c r="H79" s="12"/>
      <x:c r="I79" s="12"/>
      <x:c r="J79" s="12"/>
      <x:c r="K79" s="12"/>
      <x:c r="L79" s="12"/>
      <x:c r="M79" s="12"/>
    </x:row>
  </x:sheetData>
  <x:mergeCells>
    <x:mergeCell ref="A72:L73"/>
    <x:mergeCell ref="A1:L1"/>
    <x:mergeCell ref="A2:L2"/>
    <x:mergeCell ref="A4:L4"/>
    <x:mergeCell ref="A16:L16"/>
    <x:mergeCell ref="A30:L30"/>
    <x:mergeCell ref="A49:L49"/>
    <x:mergeCell ref="A62:L62"/>
    <x:mergeCell ref="A75:L75"/>
  </x:mergeCells>
  <x:conditionalFormatting sqref="B76:B79">
    <x:cfRule type="expression" dxfId="10" priority="1">
      <x:formula>B76="PASS"</x:formula>
    </x:cfRule>
    <x:cfRule type="expression" dxfId="11" priority="2">
      <x:formula>OR(B76="FAIL",B76="CHECK")</x:formula>
    </x:cfRule>
  </x:conditionalFormatting>
  <x:pageMargins left="0.7" right="0.7" top="0.75" bottom="0.75" header="0.3" footer="0.3"/>
  <x:drawing xmlns:r="http://schemas.openxmlformats.org/officeDocument/2006/relationships" r:id="Raedc4eed7b624995"/>
</x:worksheet>
</file>

<file path=xl/worksheets/sheet10.xml><?xml version="1.0" encoding="utf-8"?>
<x:worksheet xmlns:x="http://schemas.openxmlformats.org/spreadsheetml/2006/main">
  <x:sheetFormatPr defaultRowHeight="15"/>
  <x:cols>
    <x:col min="1" max="1" width="37" hidden="0" customWidth="1"/>
    <x:col min="2" max="2" width="15" hidden="0" customWidth="1"/>
    <x:col min="3" max="3" width="15" hidden="0" customWidth="1"/>
    <x:col min="4" max="4" width="15" hidden="0" customWidth="1"/>
    <x:col min="5" max="5" width="18" hidden="0" customWidth="1"/>
    <x:col min="6" max="6" width="15" hidden="0" customWidth="1"/>
  </x:cols>
  <x:sheetData>
    <x:row r="1" ht="28" customHeight="1">
      <x:c r="A1" s="16" t="str">
        <x:v>Microsoft Valuation Sensitivity Analysis</x:v>
      </x:c>
      <x:c r="B1" s="16"/>
      <x:c r="C1" s="16"/>
      <x:c r="D1" s="16"/>
      <x:c r="E1" s="16"/>
      <x:c r="F1" s="16"/>
    </x:row>
    <x:row r="2" ht="20" customHeight="1">
      <x:c r="A2" s="22" t="str">
        <x:v>USD per share, except percentages</x:v>
      </x:c>
      <x:c r="B2" s="22"/>
      <x:c r="C2" s="22"/>
      <x:c r="D2" s="22"/>
      <x:c r="E2" s="22"/>
      <x:c r="F2" s="22"/>
    </x:row>
    <x:row r="3">
      <x:c r="A3" s="12"/>
      <x:c r="B3" s="12"/>
      <x:c r="C3" s="12"/>
      <x:c r="D3" s="12"/>
      <x:c r="E3" s="12"/>
      <x:c r="F3" s="12"/>
    </x:row>
    <x:row r="4" ht="20" customHeight="1">
      <x:c r="A4" s="27" t="str">
        <x:v>WACC / Terminal Growth Sensitivity</x:v>
      </x:c>
      <x:c r="B4" s="27"/>
      <x:c r="C4" s="27"/>
      <x:c r="D4" s="27"/>
      <x:c r="E4" s="27"/>
      <x:c r="F4" s="27"/>
    </x:row>
    <x:row r="5">
      <x:c r="A5" s="33" t="str">
        <x:v>WACC / Terminal Growth</x:v>
      </x:c>
      <x:c r="B5" s="182" t="n">
        <x:f>'00_Assumptions'!$B$48-1%</x:f>
        <x:v>0.019999999999999997</x:v>
      </x:c>
      <x:c r="C5" s="182" t="n">
        <x:f>'00_Assumptions'!$B$48-0.5%</x:f>
        <x:v>0.024999999999999998</x:v>
      </x:c>
      <x:c r="D5" s="182" t="n">
        <x:f>'00_Assumptions'!$B$48</x:f>
        <x:v>0.03</x:v>
      </x:c>
      <x:c r="E5" s="182" t="n">
        <x:f>'00_Assumptions'!$B$48+0.5%</x:f>
        <x:v>0.034999999999999996</x:v>
      </x:c>
      <x:c r="F5" s="182" t="n">
        <x:f>'00_Assumptions'!$B$48+1%</x:f>
        <x:v>0.04</x:v>
      </x:c>
    </x:row>
    <x:row r="6">
      <x:c r="A6" s="38" t="n">
        <x:f>'00_Assumptions'!$B$46-1%</x:f>
        <x:v>0.0847153823814037</x:v>
      </x:c>
      <x:c r="B6" s="42" t="n">
        <x:f>IF($A6&lt;=B$5,NA(),(SUMPRODUCT('07_DCF'!$B$7:$K$7,1/(1+$A6)^'07_DCF'!$B$8:$K$8)+((('07_DCF'!$K$7*(1+B$5))/($A6-B$5))/(1+$A6)^'07_DCF'!$B$17)+SUM('07_DCF'!$B$26:$B$31))/'07_DCF'!$B$33)</x:f>
        <x:v>395.15679892155964</x:v>
      </x:c>
      <x:c r="C6" s="42" t="n">
        <x:f>IF($A6&lt;=C$5,NA(),(SUMPRODUCT('07_DCF'!$B$7:$K$7,1/(1+$A6)^'07_DCF'!$B$8:$K$8)+((('07_DCF'!$K$7*(1+C$5))/($A6-C$5))/(1+$A6)^'07_DCF'!$B$17)+SUM('07_DCF'!$B$26:$B$31))/'07_DCF'!$B$33)</x:f>
        <x:v>418.51205156202485</x:v>
      </x:c>
      <x:c r="D6" s="42" t="n">
        <x:f>IF($A6&lt;=D$5,NA(),(SUMPRODUCT('07_DCF'!$B$7:$K$7,1/(1+$A6)^'07_DCF'!$B$8:$K$8)+((('07_DCF'!$K$7*(1+D$5))/($A6-D$5))/(1+$A6)^'07_DCF'!$B$17)+SUM('07_DCF'!$B$26:$B$31))/'07_DCF'!$B$33)</x:f>
        <x:v>446.1358026802423</x:v>
      </x:c>
      <x:c r="E6" s="42" t="n">
        <x:f>IF($A6&lt;=E$5,NA(),(SUMPRODUCT('07_DCF'!$B$7:$K$7,1/(1+$A6)^'07_DCF'!$B$8:$K$8)+((('07_DCF'!$K$7*(1+E$5))/($A6-E$5))/(1+$A6)^'07_DCF'!$B$17)+SUM('07_DCF'!$B$26:$B$31))/'07_DCF'!$B$33)</x:f>
        <x:v>479.3159328898031</x:v>
      </x:c>
      <x:c r="F6" s="42" t="n">
        <x:f>IF($A6&lt;=F$5,NA(),(SUMPRODUCT('07_DCF'!$B$7:$K$7,1/(1+$A6)^'07_DCF'!$B$8:$K$8)+((('07_DCF'!$K$7*(1+F$5))/($A6-F$5))/(1+$A6)^'07_DCF'!$B$17)+SUM('07_DCF'!$B$26:$B$31))/'07_DCF'!$B$33)</x:f>
        <x:v>519.9163575131629</x:v>
      </x:c>
    </x:row>
    <x:row r="7">
      <x:c r="A7" s="38" t="n">
        <x:f>'00_Assumptions'!$B$46-0.5%</x:f>
        <x:v>0.0897153823814037</x:v>
      </x:c>
      <x:c r="B7" s="42" t="n">
        <x:f>IF($A7&lt;=B$5,NA(),(SUMPRODUCT('07_DCF'!$B$7:$K$7,1/(1+$A7)^'07_DCF'!$B$8:$K$8)+((('07_DCF'!$K$7*(1+B$5))/($A7-B$5))/(1+$A7)^'07_DCF'!$B$17)+SUM('07_DCF'!$B$26:$B$31))/'07_DCF'!$B$33)</x:f>
        <x:v>362.00656306907706</x:v>
      </x:c>
      <x:c r="C7" s="42" t="n">
        <x:f>IF($A7&lt;=C$5,NA(),(SUMPRODUCT('07_DCF'!$B$7:$K$7,1/(1+$A7)^'07_DCF'!$B$8:$K$8)+((('07_DCF'!$K$7*(1+C$5))/($A7-C$5))/(1+$A7)^'07_DCF'!$B$17)+SUM('07_DCF'!$B$26:$B$31))/'07_DCF'!$B$33)</x:f>
        <x:v>381.2094910387633</x:v>
      </x:c>
      <x:c r="D7" s="42" t="n">
        <x:f>IF($A7&lt;=D$5,NA(),(SUMPRODUCT('07_DCF'!$B$7:$K$7,1/(1+$A7)^'07_DCF'!$B$8:$K$8)+((('07_DCF'!$K$7*(1+D$5))/($A7-D$5))/(1+$A7)^'07_DCF'!$B$17)+SUM('07_DCF'!$B$26:$B$31))/'07_DCF'!$B$33)</x:f>
        <x:v>403.62816128521126</x:v>
      </x:c>
      <x:c r="E7" s="42" t="n">
        <x:f>IF($A7&lt;=E$5,NA(),(SUMPRODUCT('07_DCF'!$B$7:$K$7,1/(1+$A7)^'07_DCF'!$B$8:$K$8)+((('07_DCF'!$K$7*(1+E$5))/($A7-E$5))/(1+$A7)^'07_DCF'!$B$17)+SUM('07_DCF'!$B$26:$B$31))/'07_DCF'!$B$33)</x:f>
        <x:v>430.1441565014772</x:v>
      </x:c>
      <x:c r="F7" s="42" t="n">
        <x:f>IF($A7&lt;=F$5,NA(),(SUMPRODUCT('07_DCF'!$B$7:$K$7,1/(1+$A7)^'07_DCF'!$B$8:$K$8)+((('07_DCF'!$K$7*(1+F$5))/($A7-F$5))/(1+$A7)^'07_DCF'!$B$17)+SUM('07_DCF'!$B$26:$B$31))/'07_DCF'!$B$33)</x:f>
        <x:v>461.9937112613152</x:v>
      </x:c>
    </x:row>
    <x:row r="8">
      <x:c r="A8" s="38" t="n">
        <x:f>'00_Assumptions'!$B$46</x:f>
        <x:v>0.0947153823814037</x:v>
      </x:c>
      <x:c r="B8" s="42" t="n">
        <x:f>IF($A8&lt;=B$5,NA(),(SUMPRODUCT('07_DCF'!$B$7:$K$7,1/(1+$A8)^'07_DCF'!$B$8:$K$8)+((('07_DCF'!$K$7*(1+B$5))/($A8-B$5))/(1+$A8)^'07_DCF'!$B$17)+SUM('07_DCF'!$B$26:$B$31))/'07_DCF'!$B$33)</x:f>
        <x:v>333.4427247992029</x:v>
      </x:c>
      <x:c r="C8" s="42" t="n">
        <x:f>IF($A8&lt;=C$5,NA(),(SUMPRODUCT('07_DCF'!$B$7:$K$7,1/(1+$A8)^'07_DCF'!$B$8:$K$8)+((('07_DCF'!$K$7*(1+C$5))/($A8-C$5))/(1+$A8)^'07_DCF'!$B$17)+SUM('07_DCF'!$B$26:$B$31))/'07_DCF'!$B$33)</x:f>
        <x:v>349.41149976762773</x:v>
      </x:c>
      <x:c r="D8" s="186" t="n">
        <x:f>IF($A8&lt;=D$5,NA(),(SUMPRODUCT('07_DCF'!$B$7:$K$7,1/(1+$A8)^'07_DCF'!$B$8:$K$8)+((('07_DCF'!$K$7*(1+D$5))/($A8-D$5))/(1+$A8)^'07_DCF'!$B$17)+SUM('07_DCF'!$B$26:$B$31))/'07_DCF'!$B$33)</x:f>
        <x:v>367.8478140413623</x:v>
      </x:c>
      <x:c r="E8" s="42" t="n">
        <x:f>IF($A8&lt;=E$5,NA(),(SUMPRODUCT('07_DCF'!$B$7:$K$7,1/(1+$A8)^'07_DCF'!$B$8:$K$8)+((('07_DCF'!$K$7*(1+E$5))/($A8-E$5))/(1+$A8)^'07_DCF'!$B$17)+SUM('07_DCF'!$B$26:$B$31))/'07_DCF'!$B$33)</x:f>
        <x:v>389.37149266553854</x:v>
      </x:c>
      <x:c r="F8" s="42" t="n">
        <x:f>IF($A8&lt;=F$5,NA(),(SUMPRODUCT('07_DCF'!$B$7:$K$7,1/(1+$A8)^'07_DCF'!$B$8:$K$8)+((('07_DCF'!$K$7*(1+F$5))/($A8-F$5))/(1+$A8)^'07_DCF'!$B$17)+SUM('07_DCF'!$B$26:$B$31))/'07_DCF'!$B$33)</x:f>
        <x:v>414.8289240457756</x:v>
      </x:c>
    </x:row>
    <x:row r="9">
      <x:c r="A9" s="38" t="n">
        <x:f>'00_Assumptions'!$B$46+0.5%</x:f>
        <x:v>0.0997153823814037</x:v>
      </x:c>
      <x:c r="B9" s="42" t="n">
        <x:f>IF($A9&lt;=B$5,NA(),(SUMPRODUCT('07_DCF'!$B$7:$K$7,1/(1+$A9)^'07_DCF'!$B$8:$K$8)+((('07_DCF'!$K$7*(1+B$5))/($A9-B$5))/(1+$A9)^'07_DCF'!$B$17)+SUM('07_DCF'!$B$26:$B$31))/'07_DCF'!$B$33)</x:f>
        <x:v>308.5959812298886</x:v>
      </x:c>
      <x:c r="C9" s="42" t="n">
        <x:f>IF($A9&lt;=C$5,NA(),(SUMPRODUCT('07_DCF'!$B$7:$K$7,1/(1+$A9)^'07_DCF'!$B$8:$K$8)+((('07_DCF'!$K$7*(1+C$5))/($A9-C$5))/(1+$A9)^'07_DCF'!$B$17)+SUM('07_DCF'!$B$26:$B$31))/'07_DCF'!$B$33)</x:f>
        <x:v>322.00649324186156</x:v>
      </x:c>
      <x:c r="D9" s="42" t="n">
        <x:f>IF($A9&lt;=D$5,NA(),(SUMPRODUCT('07_DCF'!$B$7:$K$7,1/(1+$A9)^'07_DCF'!$B$8:$K$8)+((('07_DCF'!$K$7*(1+D$5))/($A9-D$5))/(1+$A9)^'07_DCF'!$B$17)+SUM('07_DCF'!$B$26:$B$31))/'07_DCF'!$B$33)</x:f>
        <x:v>337.3406140118855</x:v>
      </x:c>
      <x:c r="E9" s="42" t="n">
        <x:f>IF($A9&lt;=E$5,NA(),(SUMPRODUCT('07_DCF'!$B$7:$K$7,1/(1+$A9)^'07_DCF'!$B$8:$K$8)+((('07_DCF'!$K$7*(1+E$5))/($A9-E$5))/(1+$A9)^'07_DCF'!$B$17)+SUM('07_DCF'!$B$26:$B$31))/'07_DCF'!$B$33)</x:f>
        <x:v>355.04420556393325</x:v>
      </x:c>
      <x:c r="F9" s="42" t="n">
        <x:f>IF($A9&lt;=F$5,NA(),(SUMPRODUCT('07_DCF'!$B$7:$K$7,1/(1+$A9)^'07_DCF'!$B$8:$K$8)+((('07_DCF'!$K$7*(1+F$5))/($A9-F$5))/(1+$A9)^'07_DCF'!$B$17)+SUM('07_DCF'!$B$26:$B$31))/'07_DCF'!$B$33)</x:f>
        <x:v>375.71245895787877</x:v>
      </x:c>
    </x:row>
    <x:row r="10">
      <x:c r="A10" s="38" t="n">
        <x:f>'00_Assumptions'!$B$46+1%</x:f>
        <x:v>0.1047153823814037</x:v>
      </x:c>
      <x:c r="B10" s="42" t="n">
        <x:f>IF($A10&lt;=B$5,NA(),(SUMPRODUCT('07_DCF'!$B$7:$K$7,1/(1+$A10)^'07_DCF'!$B$8:$K$8)+((('07_DCF'!$K$7*(1+B$5))/($A10-B$5))/(1+$A10)^'07_DCF'!$B$17)+SUM('07_DCF'!$B$26:$B$31))/'07_DCF'!$B$33)</x:f>
        <x:v>286.80258212104246</x:v>
      </x:c>
      <x:c r="C10" s="42" t="n">
        <x:f>IF($A10&lt;=C$5,NA(),(SUMPRODUCT('07_DCF'!$B$7:$K$7,1/(1+$A10)^'07_DCF'!$B$8:$K$8)+((('07_DCF'!$K$7*(1+C$5))/($A10-C$5))/(1+$A10)^'07_DCF'!$B$17)+SUM('07_DCF'!$B$26:$B$31))/'07_DCF'!$B$33)</x:f>
        <x:v>298.16211003760446</x:v>
      </x:c>
      <x:c r="D10" s="42" t="n">
        <x:f>IF($A10&lt;=D$5,NA(),(SUMPRODUCT('07_DCF'!$B$7:$K$7,1/(1+$A10)^'07_DCF'!$B$8:$K$8)+((('07_DCF'!$K$7*(1+D$5))/($A10-D$5))/(1+$A10)^'07_DCF'!$B$17)+SUM('07_DCF'!$B$26:$B$31))/'07_DCF'!$B$33)</x:f>
        <x:v>311.04201134375506</x:v>
      </x:c>
      <x:c r="E10" s="42" t="n">
        <x:f>IF($A10&lt;=E$5,NA(),(SUMPRODUCT('07_DCF'!$B$7:$K$7,1/(1+$A10)^'07_DCF'!$B$8:$K$8)+((('07_DCF'!$K$7*(1+E$5))/($A10-E$5))/(1+$A10)^'07_DCF'!$B$17)+SUM('07_DCF'!$B$26:$B$31))/'07_DCF'!$B$33)</x:f>
        <x:v>325.7694104138405</x:v>
      </x:c>
      <x:c r="F10" s="42" t="n">
        <x:f>IF($A10&lt;=F$5,NA(),(SUMPRODUCT('07_DCF'!$B$7:$K$7,1/(1+$A10)^'07_DCF'!$B$8:$K$8)+((('07_DCF'!$K$7*(1+F$5))/($A10-F$5))/(1+$A10)^'07_DCF'!$B$17)+SUM('07_DCF'!$B$26:$B$31))/'07_DCF'!$B$33)</x:f>
        <x:v>342.7725279496361</x:v>
      </x:c>
    </x:row>
    <x:row r="11">
      <x:c r="A11" s="98" t="str">
        <x:v>Sensitivity Analysis: Intrinsic value per share under alternative WACC and perpetual-growth assumptions. The operating forecast, reinvestment assumptions and capital structure remain unchanged.</x:v>
      </x:c>
      <x:c r="B11" s="98"/>
      <x:c r="C11" s="98"/>
      <x:c r="D11" s="98"/>
      <x:c r="E11" s="98"/>
      <x:c r="F11" s="98"/>
    </x:row>
    <x:row r="12">
      <x:c r="A12" s="12" t="str">
        <x:v>Base-Case Sensitivity Check</x:v>
      </x:c>
      <x:c r="B12" s="86" t="str">
        <x:f>IF(ABS(D8-'07_DCF'!B34)&lt;0.01,"PASS","FAIL")</x:f>
        <x:v>PASS</x:v>
      </x:c>
      <x:c r="C12" s="12"/>
      <x:c r="D12" s="12"/>
      <x:c r="E12" s="12"/>
      <x:c r="F12" s="12"/>
    </x:row>
    <x:row r="13">
      <x:c r="A13" s="12"/>
      <x:c r="B13" s="12"/>
      <x:c r="C13" s="12"/>
      <x:c r="D13" s="12"/>
      <x:c r="E13" s="12"/>
      <x:c r="F13" s="12"/>
    </x:row>
    <x:row r="14">
      <x:c r="A14" s="12"/>
      <x:c r="B14" s="12"/>
      <x:c r="C14" s="12"/>
      <x:c r="D14" s="12"/>
      <x:c r="E14" s="12"/>
      <x:c r="F14" s="12"/>
    </x:row>
    <x:row r="15" ht="20" customHeight="1">
      <x:c r="A15" s="27" t="str">
        <x:v>Valuation Parameter Scenarios</x:v>
      </x:c>
      <x:c r="B15" s="27"/>
      <x:c r="C15" s="27"/>
      <x:c r="D15" s="27"/>
      <x:c r="E15" s="27"/>
      <x:c r="F15" s="27"/>
    </x:row>
    <x:row r="16">
      <x:c r="A16" s="33" t="str">
        <x:v>Scenario</x:v>
      </x:c>
      <x:c r="B16" s="33" t="str">
        <x:v>WACC</x:v>
      </x:c>
      <x:c r="C16" s="33" t="str">
        <x:v>Terminal Growth</x:v>
      </x:c>
      <x:c r="D16" s="33" t="str">
        <x:v>Value Per Share</x:v>
      </x:c>
      <x:c r="E16" s="33" t="str">
        <x:v>Upside / (Downside)</x:v>
      </x:c>
      <x:c r="F16" s="12"/>
    </x:row>
    <x:row r="17">
      <x:c r="A17" s="12" t="str">
        <x:v>Bear</x:v>
      </x:c>
      <x:c r="B17" s="38" t="n">
        <x:f>A10</x:f>
        <x:v>0.1047153823814037</x:v>
      </x:c>
      <x:c r="C17" s="38" t="n">
        <x:f>B5</x:f>
        <x:v>0.019999999999999997</x:v>
      </x:c>
      <x:c r="D17" s="42" t="n">
        <x:f>B10</x:f>
        <x:v>286.80258212104246</x:v>
      </x:c>
      <x:c r="E17" s="38" t="n">
        <x:f>D17/'00_Assumptions'!$B$37-1</x:f>
        <x:v>-0.4262341813286872</x:v>
      </x:c>
      <x:c r="F17" s="12"/>
    </x:row>
    <x:row r="18">
      <x:c r="A18" s="12" t="str">
        <x:v>Base</x:v>
      </x:c>
      <x:c r="B18" s="38" t="n">
        <x:f>A8</x:f>
        <x:v>0.0947153823814037</x:v>
      </x:c>
      <x:c r="C18" s="38" t="n">
        <x:f>D5</x:f>
        <x:v>0.03</x:v>
      </x:c>
      <x:c r="D18" s="42" t="n">
        <x:f>D8</x:f>
        <x:v>367.8478140413623</x:v>
      </x:c>
      <x:c r="E18" s="38" t="n">
        <x:f>D18/'00_Assumptions'!$B$37-1</x:f>
        <x:v>-0.26409831944672046</x:v>
      </x:c>
      <x:c r="F18" s="12"/>
    </x:row>
    <x:row r="19">
      <x:c r="A19" s="12" t="str">
        <x:v>Bull</x:v>
      </x:c>
      <x:c r="B19" s="38" t="n">
        <x:f>A6</x:f>
        <x:v>0.0847153823814037</x:v>
      </x:c>
      <x:c r="C19" s="38" t="n">
        <x:f>F5</x:f>
        <x:v>0.04</x:v>
      </x:c>
      <x:c r="D19" s="42" t="n">
        <x:f>F6</x:f>
        <x:v>519.9163575131629</x:v>
      </x:c>
      <x:c r="E19" s="38" t="n">
        <x:f>D19/'00_Assumptions'!$B$37-1</x:f>
        <x:v>0.04012394973225075</x:v>
      </x:c>
      <x:c r="F19" s="12"/>
    </x:row>
    <x:row r="20">
      <x:c r="A20" s="12" t="str">
        <x:v>Current Market</x:v>
      </x:c>
      <x:c r="B20" s="38"/>
      <x:c r="C20" s="38"/>
      <x:c r="D20" s="42" t="n">
        <x:f>'00_Assumptions'!$B$37</x:f>
        <x:v>499.86</x:v>
      </x:c>
      <x:c r="E20" s="38" t="n">
        <x:f>0%</x:f>
        <x:v>0</x:v>
      </x:c>
      <x:c r="F20" s="12"/>
    </x:row>
    <x:row r="21">
      <x:c r="A21" s="98" t="str">
        <x:v>Bear, Base and Bull scenarios vary only WACC and terminal growth. The underlying operating forecast remains unchanged.</x:v>
      </x:c>
      <x:c r="B21" s="98"/>
      <x:c r="C21" s="98"/>
      <x:c r="D21" s="98"/>
      <x:c r="E21" s="98"/>
      <x:c r="F21" s="98"/>
    </x:row>
    <x:row r="22">
      <x:c r="A22" s="12"/>
      <x:c r="B22" s="12"/>
      <x:c r="C22" s="12"/>
      <x:c r="D22" s="12"/>
      <x:c r="E22" s="12"/>
      <x:c r="F22" s="12"/>
    </x:row>
    <x:row r="23" ht="20" customHeight="1">
      <x:c r="A23" s="27" t="str">
        <x:v>Sensitivity Diagnostics</x:v>
      </x:c>
      <x:c r="B23" s="27"/>
      <x:c r="C23" s="27"/>
      <x:c r="D23" s="27"/>
      <x:c r="E23" s="27"/>
      <x:c r="F23" s="27"/>
    </x:row>
    <x:row r="24">
      <x:c r="A24" s="12" t="str">
        <x:v>Base DCF Value Per Share</x:v>
      </x:c>
      <x:c r="B24" s="42" t="n">
        <x:f>'07_DCF'!B34</x:f>
        <x:v>367.8478140413623</x:v>
      </x:c>
      <x:c r="C24" s="12"/>
      <x:c r="D24" s="12"/>
      <x:c r="E24" s="12"/>
      <x:c r="F24" s="12"/>
    </x:row>
    <x:row r="25">
      <x:c r="A25" s="12" t="str">
        <x:v>Current Market Price</x:v>
      </x:c>
      <x:c r="B25" s="42" t="n">
        <x:f>'00_Assumptions'!B37</x:f>
        <x:v>499.86</x:v>
      </x:c>
      <x:c r="C25" s="12"/>
      <x:c r="D25" s="12"/>
      <x:c r="E25" s="12"/>
      <x:c r="F25" s="12"/>
    </x:row>
    <x:row r="26">
      <x:c r="A26" s="12" t="str">
        <x:v>Base-Case Upside / (Downside)</x:v>
      </x:c>
      <x:c r="B26" s="38" t="n">
        <x:f>B24/B25-1</x:f>
        <x:v>-0.26409831944672046</x:v>
      </x:c>
      <x:c r="C26" s="12"/>
      <x:c r="D26" s="12"/>
      <x:c r="E26" s="12"/>
      <x:c r="F26" s="12"/>
    </x:row>
    <x:row r="27">
      <x:c r="A27" s="12" t="str">
        <x:v>Reverse DCF Revenue Growth Uplift</x:v>
      </x:c>
      <x:c r="B27" s="292" t="n">
        <x:f>'08_Reverse_DCF'!B63</x:f>
        <x:v>7.407189972638601</x:v>
      </x:c>
      <x:c r="C27" s="12"/>
      <x:c r="D27" s="12"/>
      <x:c r="E27" s="12"/>
      <x:c r="F27" s="12"/>
    </x:row>
    <x:row r="28">
      <x:c r="A28" s="12" t="str">
        <x:v>Lowest Sensitivity Value</x:v>
      </x:c>
      <x:c r="B28" s="42" t="n">
        <x:f>MIN(B6:F10)</x:f>
        <x:v>286.80258212104246</x:v>
      </x:c>
      <x:c r="C28" s="12"/>
      <x:c r="D28" s="12"/>
      <x:c r="E28" s="12"/>
      <x:c r="F28" s="12"/>
    </x:row>
    <x:row r="29">
      <x:c r="A29" s="12" t="str">
        <x:v>Highest Sensitivity Value</x:v>
      </x:c>
      <x:c r="B29" s="42" t="n">
        <x:f>MAX(B6:F10)</x:f>
        <x:v>519.9163575131629</x:v>
      </x:c>
      <x:c r="C29" s="12"/>
      <x:c r="D29" s="12"/>
      <x:c r="E29" s="12"/>
      <x:c r="F29" s="12"/>
    </x:row>
    <x:row r="30">
      <x:c r="A30" s="12" t="str">
        <x:v>Sensitivity Range</x:v>
      </x:c>
      <x:c r="B30" s="42" t="n">
        <x:f>B29-B28</x:f>
        <x:v>233.11377539212043</x:v>
      </x:c>
      <x:c r="C30" s="12"/>
      <x:c r="D30" s="12"/>
      <x:c r="E30" s="12"/>
      <x:c r="F30" s="12"/>
    </x:row>
    <x:row r="31">
      <x:c r="A31" s="12" t="str">
        <x:v>Current Price Within Sensitivity Range</x:v>
      </x:c>
      <x:c r="B31" s="12" t="str">
        <x:f>IF(AND(B25&gt;=B28,B25&lt;=B29),"YES","NO")</x:f>
        <x:v>YES</x:v>
      </x:c>
      <x:c r="C31" s="12"/>
      <x:c r="D31" s="12"/>
      <x:c r="E31" s="12"/>
      <x:c r="F31" s="12"/>
    </x:row>
  </x:sheetData>
  <x:mergeCells>
    <x:mergeCell ref="A4:F4"/>
    <x:mergeCell ref="A1:F1"/>
    <x:mergeCell ref="A2:F2"/>
    <x:mergeCell ref="A15:F15"/>
    <x:mergeCell ref="A23:F23"/>
  </x:mergeCells>
  <x:conditionalFormatting sqref="B6:F10">
    <x:cfRule type="colorScale" priority="1">
      <x:colorScale>
        <x:cfvo type="min"/>
        <x:cfvo type="percentile" val="50"/>
        <x:cfvo type="max"/>
        <x:color rgb="FFF4CCCC"/>
        <x:color rgb="FFFFF2CC"/>
        <x:color rgb="FFD9EAD3"/>
      </x:colorScale>
    </x:cfRule>
  </x:conditionalFormatting>
  <x:conditionalFormatting sqref="B12:B12">
    <x:cfRule type="expression" dxfId="12" priority="2">
      <x:formula>B12="PASS"</x:formula>
    </x:cfRule>
    <x:cfRule type="expression" dxfId="13" priority="3">
      <x:formula>OR(B12="FAIL",B12="CHECK")</x:formula>
    </x:cfRule>
  </x:conditionalFormatting>
  <x:pageMargins left="0.7" right="0.7" top="0.75" bottom="0.75" header="0.3" footer="0.3"/>
  <x:drawing xmlns:r="http://schemas.openxmlformats.org/officeDocument/2006/relationships" r:id="Red28eec354ad4b0a"/>
</x:worksheet>
</file>

<file path=xl/worksheets/sheet11.xml><?xml version="1.0" encoding="utf-8"?>
<x:worksheet xmlns:x="http://schemas.openxmlformats.org/spreadsheetml/2006/main">
  <x:sheetFormatPr defaultRowHeight="15"/>
  <x:cols>
    <x:col min="1" max="1" width="16"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s>
  <x:sheetData>
    <x:row r="1" ht="28" customHeight="1">
      <x:c r="A1" s="16" t="str">
        <x:v>Microsoft DCF and Business Quality Dashboard</x:v>
      </x:c>
      <x:c r="B1" s="16"/>
      <x:c r="C1" s="16"/>
      <x:c r="D1" s="16"/>
      <x:c r="E1" s="16"/>
      <x:c r="F1" s="16"/>
      <x:c r="G1" s="16"/>
      <x:c r="H1" s="16"/>
      <x:c r="I1" s="16"/>
      <x:c r="J1" s="16"/>
      <x:c r="K1" s="16"/>
      <x:c r="L1" s="16"/>
      <x:c r="M1" s="16"/>
      <x:c r="N1" s="16"/>
      <x:c r="O1" s="16"/>
      <x:c r="P1" s="12"/>
      <x:c r="Q1" s="12"/>
      <x:c r="R1" s="12"/>
      <x:c r="S1" s="12"/>
      <x:c r="T1" s="12"/>
      <x:c r="U1" s="12"/>
      <x:c r="V1" s="12"/>
      <x:c r="W1" s="12"/>
    </x:row>
    <x:row r="2" ht="20" customHeight="1">
      <x:c r="A2" s="22" t="str">
        <x:v>Prepared by Yagni Patel | Valuation date: August 6, 2026 | USD in millions, except per-share amounts and percentages</x:v>
      </x:c>
      <x:c r="B2" s="22"/>
      <x:c r="C2" s="22"/>
      <x:c r="D2" s="22"/>
      <x:c r="E2" s="22"/>
      <x:c r="F2" s="22"/>
      <x:c r="G2" s="22"/>
      <x:c r="H2" s="22"/>
      <x:c r="I2" s="22"/>
      <x:c r="J2" s="22"/>
      <x:c r="K2" s="22"/>
      <x:c r="L2" s="22"/>
      <x:c r="M2" s="22"/>
      <x:c r="N2" s="22"/>
      <x:c r="O2" s="22"/>
      <x:c r="P2" s="12"/>
      <x:c r="Q2" s="33" t="str">
        <x:v>Year</x:v>
      </x:c>
      <x:c r="R2" s="33" t="str">
        <x:v>Revenue</x:v>
      </x:c>
      <x:c r="S2" s="33" t="str">
        <x:v>Operating Income</x:v>
      </x:c>
      <x:c r="T2" s="12"/>
      <x:c r="U2" s="33" t="str">
        <x:v>Year</x:v>
      </x:c>
      <x:c r="V2" s="33" t="str">
        <x:v>PBP</x:v>
      </x:c>
      <x:c r="W2" s="33" t="str">
        <x:v>Intelligent Cloud</x:v>
      </x:c>
      <x:c r="X2" s="74" t="str">
        <x:v>MPC</x:v>
      </x:c>
      <x:c r="Y2" s="74" t="str">
        <x:v>Scenario</x:v>
      </x:c>
      <x:c r="Z2" s="74" t="str">
        <x:v>Value / Share</x:v>
      </x:c>
      <x:c r="AA2" s="74" t="str">
        <x:v>Year</x:v>
      </x:c>
      <x:c r="AB2" s="74" t="str">
        <x:v>Cash CapEx / Revenue</x:v>
      </x:c>
      <x:c r="AC2" s="74" t="str">
        <x:v>Total CapEx / Revenue</x:v>
      </x:c>
    </x:row>
    <x:row r="3">
      <x:c r="A3" s="12"/>
      <x:c r="B3" s="12"/>
      <x:c r="C3" s="12"/>
      <x:c r="D3" s="12"/>
      <x:c r="E3" s="12"/>
      <x:c r="F3" s="12"/>
      <x:c r="G3" s="12"/>
      <x:c r="H3" s="12"/>
      <x:c r="I3" s="12"/>
      <x:c r="J3" s="12"/>
      <x:c r="K3" s="12"/>
      <x:c r="L3" s="12"/>
      <x:c r="M3" s="12"/>
      <x:c r="N3" s="12"/>
      <x:c r="O3" s="12"/>
      <x:c r="P3" s="12"/>
      <x:c r="Q3" s="12" t="str">
        <x:f>'06_Consolidated_Forecast'!E4</x:f>
        <x:v>FY2026A</x:v>
      </x:c>
      <x:c r="R3" s="44" t="n">
        <x:f>'06_Consolidated_Forecast'!E10</x:f>
        <x:v>331839</x:v>
      </x:c>
      <x:c r="S3" s="44" t="n">
        <x:f>'06_Consolidated_Forecast'!E17</x:f>
        <x:v>155237</x:v>
      </x:c>
      <x:c r="T3" s="12"/>
      <x:c r="U3" s="12" t="str">
        <x:v>FY2026A</x:v>
      </x:c>
      <x:c r="V3" s="44" t="n">
        <x:f>'05_Segment_Drivers'!E7</x:f>
        <x:v>139996</x:v>
      </x:c>
      <x:c r="W3" s="44" t="n">
        <x:f>'05_Segment_Drivers'!E14</x:f>
        <x:v>137791</x:v>
      </x:c>
      <x:c r="X3" s="158" t="n">
        <x:f>'05_Segment_Drivers'!E21</x:f>
        <x:v>54052</x:v>
      </x:c>
      <x:c r="Y3" t="str">
        <x:v>Bear</x:v>
      </x:c>
      <x:c r="Z3" s="286" t="n">
        <x:f>'09_Sensitivity_Analysis'!D17</x:f>
        <x:v>286.80258212104246</x:v>
      </x:c>
      <x:c r="AA3" t="str">
        <x:f>'06_Consolidated_Forecast'!B4</x:f>
        <x:v>FY2023A</x:v>
      </x:c>
      <x:c r="AB3" s="156" t="n">
        <x:f>'06_Consolidated_Forecast'!B29</x:f>
        <x:v>0.13263336715192411</x:v>
      </x:c>
      <x:c r="AC3" s="156" t="n">
        <x:f>'06_Consolidated_Forecast'!B38</x:f>
        <x:v>0.14739400231224783</x:v>
      </x:c>
    </x:row>
    <x:row r="4">
      <x:c r="A4" s="192" t="str">
        <x:v>Current Market Price</x:v>
      </x:c>
      <x:c r="B4" s="192"/>
      <x:c r="C4" s="192"/>
      <x:c r="D4" s="192" t="str">
        <x:v>Base DCF Value / Share</x:v>
      </x:c>
      <x:c r="E4" s="192"/>
      <x:c r="F4" s="192"/>
      <x:c r="G4" s="192" t="str">
        <x:v>Base-Case Upside / (Downside)</x:v>
      </x:c>
      <x:c r="H4" s="192"/>
      <x:c r="I4" s="192"/>
      <x:c r="J4" s="192" t="str">
        <x:v>Market-Implied Growth Uplift (pp)</x:v>
      </x:c>
      <x:c r="K4" s="192"/>
      <x:c r="L4" s="192"/>
      <x:c r="M4" s="192" t="str">
        <x:v>WACC</x:v>
      </x:c>
      <x:c r="N4" s="192"/>
      <x:c r="O4" s="192"/>
      <x:c r="P4" s="12"/>
      <x:c r="Q4" s="12" t="str">
        <x:f>'06_Consolidated_Forecast'!F4</x:f>
        <x:v>FY2027E</x:v>
      </x:c>
      <x:c r="R4" s="44" t="n">
        <x:f>'06_Consolidated_Forecast'!F10</x:f>
        <x:v>385651.6600000001</x:v>
      </x:c>
      <x:c r="S4" s="44" t="n">
        <x:f>'06_Consolidated_Forecast'!F17</x:f>
        <x:v>177488.2783</x:v>
      </x:c>
      <x:c r="T4" s="12"/>
      <x:c r="U4" s="12" t="str">
        <x:v>FY2036E</x:v>
      </x:c>
      <x:c r="V4" s="44" t="n">
        <x:f>'05_Segment_Drivers'!O7</x:f>
        <x:v>278501.29094084614</x:v>
      </x:c>
      <x:c r="W4" s="44" t="n">
        <x:f>'05_Segment_Drivers'!O14</x:f>
        <x:v>498962.71496141364</x:v>
      </x:c>
      <x:c r="X4" s="158" t="n">
        <x:f>'05_Segment_Drivers'!O21</x:f>
        <x:v>59994.581306000175</x:v>
      </x:c>
      <x:c r="Y4" t="str">
        <x:v>Base</x:v>
      </x:c>
      <x:c r="Z4" s="286" t="n">
        <x:f>'09_Sensitivity_Analysis'!D18</x:f>
        <x:v>367.8478140413623</x:v>
      </x:c>
      <x:c r="AA4" t="str">
        <x:f>'06_Consolidated_Forecast'!C4</x:f>
        <x:v>FY2024A</x:v>
      </x:c>
      <x:c r="AB4" s="156" t="n">
        <x:f>'06_Consolidated_Forecast'!C29</x:f>
        <x:v>0.18144842160230415</x:v>
      </x:c>
      <x:c r="AC4" s="156" t="n">
        <x:f>'06_Consolidated_Forecast'!C38</x:f>
        <x:v>0.22890642210817472</x:v>
      </x:c>
    </x:row>
    <x:row r="5">
      <x:c r="A5" s="222" t="n">
        <x:f>'00_Assumptions'!B37</x:f>
        <x:v>499.86</x:v>
      </x:c>
      <x:c r="B5" s="223"/>
      <x:c r="C5" s="224"/>
      <x:c r="D5" s="222" t="n">
        <x:f>'07_DCF'!B34</x:f>
        <x:v>367.8478140413623</x:v>
      </x:c>
      <x:c r="E5" s="223"/>
      <x:c r="F5" s="224"/>
      <x:c r="G5" s="246" t="n">
        <x:f>'07_DCF'!B36</x:f>
        <x:v>-0.26409831944672046</x:v>
      </x:c>
      <x:c r="H5" s="247"/>
      <x:c r="I5" s="248"/>
      <x:c r="J5" s="294" t="n">
        <x:f>'08_Reverse_DCF'!B63</x:f>
        <x:v>7.407189972638601</x:v>
      </x:c>
      <x:c r="K5" s="235"/>
      <x:c r="L5" s="236"/>
      <x:c r="M5" s="234" t="n">
        <x:f>'00_Assumptions'!B46</x:f>
        <x:v>0.0947153823814037</x:v>
      </x:c>
      <x:c r="N5" s="235"/>
      <x:c r="O5" s="236"/>
      <x:c r="P5" s="12"/>
      <x:c r="Q5" s="12" t="str">
        <x:f>'06_Consolidated_Forecast'!G4</x:f>
        <x:v>FY2028E</x:v>
      </x:c>
      <x:c r="R5" s="44" t="n">
        <x:f>'06_Consolidated_Forecast'!G10</x:f>
        <x:v>445105.9816000001</x:v>
      </x:c>
      <x:c r="S5" s="44" t="n">
        <x:f>'06_Consolidated_Forecast'!G17</x:f>
        <x:v>204617.37051200005</x:v>
      </x:c>
      <x:c r="T5" s="12"/>
      <x:c r="U5" s="12"/>
      <x:c r="V5" s="12"/>
      <x:c r="W5" s="12"/>
      <x:c r="Y5" t="str">
        <x:v>Current Market</x:v>
      </x:c>
      <x:c r="Z5" s="286" t="n">
        <x:f>'09_Sensitivity_Analysis'!D20</x:f>
        <x:v>499.86</x:v>
      </x:c>
      <x:c r="AA5" t="str">
        <x:f>'06_Consolidated_Forecast'!D4</x:f>
        <x:v>FY2025A</x:v>
      </x:c>
      <x:c r="AB5" s="156" t="n">
        <x:f>'06_Consolidated_Forecast'!D29</x:f>
        <x:v>0.22912850875324786</x:v>
      </x:c>
      <x:c r="AC5" s="156" t="n">
        <x:f>'06_Consolidated_Forecast'!D38</x:f>
        <x:v>0.3019338075563317</x:v>
      </x:c>
    </x:row>
    <x:row r="6">
      <x:c r="A6" s="225"/>
      <x:c r="B6" s="226"/>
      <x:c r="C6" s="227"/>
      <x:c r="D6" s="225"/>
      <x:c r="E6" s="226"/>
      <x:c r="F6" s="227"/>
      <x:c r="G6" s="249"/>
      <x:c r="H6" s="250"/>
      <x:c r="I6" s="251"/>
      <x:c r="J6" s="237"/>
      <x:c r="K6" s="238"/>
      <x:c r="L6" s="239"/>
      <x:c r="M6" s="237"/>
      <x:c r="N6" s="238"/>
      <x:c r="O6" s="239"/>
      <x:c r="P6" s="12"/>
      <x:c r="Q6" s="12" t="str">
        <x:f>'06_Consolidated_Forecast'!H4</x:f>
        <x:v>FY2029E</x:v>
      </x:c>
      <x:c r="R6" s="44" t="n">
        <x:f>'06_Consolidated_Forecast'!H10</x:f>
        <x:v>505869.03206400014</x:v>
      </x:c>
      <x:c r="S6" s="44" t="n">
        <x:f>'06_Consolidated_Forecast'!H17</x:f>
        <x:v>233473.68357747202</x:v>
      </x:c>
      <x:c r="T6" s="12"/>
      <x:c r="U6" s="12"/>
      <x:c r="V6" s="12"/>
      <x:c r="W6" s="12"/>
      <x:c r="Y6" t="str">
        <x:v>Bull</x:v>
      </x:c>
      <x:c r="Z6" s="286" t="n">
        <x:f>'09_Sensitivity_Analysis'!D19</x:f>
        <x:v>519.9163575131629</x:v>
      </x:c>
      <x:c r="AA6" t="str">
        <x:f>'06_Consolidated_Forecast'!E4</x:f>
        <x:v>FY2026A</x:v>
      </x:c>
      <x:c r="AB6" s="156" t="n">
        <x:f>'06_Consolidated_Forecast'!E29</x:f>
        <x:v>0.34941040685392616</x:v>
      </x:c>
      <x:c r="AC6" s="156" t="n">
        <x:f>'06_Consolidated_Forecast'!E38</x:f>
        <x:v>0.4235668501893991</x:v>
      </x:c>
    </x:row>
    <x:row r="7">
      <x:c r="A7" s="12"/>
      <x:c r="B7" s="12"/>
      <x:c r="C7" s="12"/>
      <x:c r="D7" s="12"/>
      <x:c r="E7" s="12"/>
      <x:c r="F7" s="12"/>
      <x:c r="G7" s="12"/>
      <x:c r="H7" s="12"/>
      <x:c r="I7" s="12"/>
      <x:c r="J7" s="12"/>
      <x:c r="K7" s="12"/>
      <x:c r="L7" s="12"/>
      <x:c r="M7" s="12"/>
      <x:c r="N7" s="12"/>
      <x:c r="O7" s="12"/>
      <x:c r="P7" s="12"/>
      <x:c r="Q7" s="12" t="str">
        <x:f>'06_Consolidated_Forecast'!I4</x:f>
        <x:v>FY2030E</x:v>
      </x:c>
      <x:c r="R7" s="44" t="n">
        <x:f>'06_Consolidated_Forecast'!I10</x:f>
        <x:v>564885.9307931201</x:v>
      </x:c>
      <x:c r="S7" s="44" t="n">
        <x:f>'06_Consolidated_Forecast'!I17</x:f>
        <x:v>262080.48815106403</x:v>
      </x:c>
      <x:c r="T7" s="12"/>
      <x:c r="U7" s="12"/>
      <x:c r="V7" s="12"/>
      <x:c r="W7" s="12"/>
    </x:row>
    <x:row r="8">
      <x:c r="A8" s="192" t="str">
        <x:v>FY2026 ROIC</x:v>
      </x:c>
      <x:c r="B8" s="192"/>
      <x:c r="C8" s="192"/>
      <x:c r="D8" s="192" t="str">
        <x:v>FY2026 Total CapEx / Revenue</x:v>
      </x:c>
      <x:c r="E8" s="192"/>
      <x:c r="F8" s="192"/>
      <x:c r="G8" s="192" t="str">
        <x:v>FY2026 Cash FCF Margin</x:v>
      </x:c>
      <x:c r="H8" s="192"/>
      <x:c r="I8" s="192"/>
      <x:c r="J8" s="192" t="str">
        <x:v>Market-Implied FY2027E Growth</x:v>
      </x:c>
      <x:c r="K8" s="192"/>
      <x:c r="L8" s="192"/>
      <x:c r="M8" s="192" t="str">
        <x:v>Terminal Growth Rate</x:v>
      </x:c>
      <x:c r="N8" s="192"/>
      <x:c r="O8" s="192"/>
      <x:c r="P8" s="12"/>
      <x:c r="Q8" s="12" t="str">
        <x:f>'06_Consolidated_Forecast'!J4</x:f>
        <x:v>FY2031E</x:v>
      </x:c>
      <x:c r="R8" s="44" t="n">
        <x:f>'06_Consolidated_Forecast'!J10</x:f>
        <x:v>620909.9084508785</x:v>
      </x:c>
      <x:c r="S8" s="44" t="n">
        <x:f>'06_Consolidated_Forecast'!J17</x:f>
        <x:v>288869.92092565534</x:v>
      </x:c>
      <x:c r="T8" s="12"/>
      <x:c r="U8" s="12"/>
      <x:c r="V8" s="12"/>
      <x:c r="W8" s="12"/>
    </x:row>
    <x:row r="9">
      <x:c r="A9" s="234" t="n">
        <x:f>'03_Business_Quality'!G26</x:f>
        <x:v>0.33546358226733924</x:v>
      </x:c>
      <x:c r="B9" s="235"/>
      <x:c r="C9" s="236"/>
      <x:c r="D9" s="234" t="n">
        <x:f>'06_Consolidated_Forecast'!E38</x:f>
        <x:v>0.4235668501893991</x:v>
      </x:c>
      <x:c r="E9" s="235"/>
      <x:c r="F9" s="236"/>
      <x:c r="G9" s="234" t="n">
        <x:f>'03_Business_Quality'!G11</x:f>
        <x:v>0.20186596512164032</x:v>
      </x:c>
      <x:c r="H9" s="235"/>
      <x:c r="I9" s="236"/>
      <x:c r="J9" s="234" t="n">
        <x:f>'08_Reverse_DCF'!B65</x:f>
        <x:v>0.2362368652669044</x:v>
      </x:c>
      <x:c r="K9" s="235"/>
      <x:c r="L9" s="236"/>
      <x:c r="M9" s="234" t="n">
        <x:f>'00_Assumptions'!B48</x:f>
        <x:v>0.03</x:v>
      </x:c>
      <x:c r="N9" s="235"/>
      <x:c r="O9" s="236"/>
      <x:c r="P9" s="12"/>
      <x:c r="Q9" s="12" t="str">
        <x:f>'06_Consolidated_Forecast'!K4</x:f>
        <x:v>FY2032E</x:v>
      </x:c>
      <x:c r="R9" s="44" t="n">
        <x:f>'06_Consolidated_Forecast'!K10</x:f>
        <x:v>670541.2507484381</x:v>
      </x:c>
      <x:c r="S9" s="44" t="n">
        <x:f>'06_Consolidated_Forecast'!K17</x:f>
        <x:v>312889.2997810283</x:v>
      </x:c>
      <x:c r="T9" s="12"/>
      <x:c r="U9" s="12"/>
      <x:c r="V9" s="12"/>
      <x:c r="W9" s="12"/>
    </x:row>
    <x:row r="10">
      <x:c r="A10" s="237"/>
      <x:c r="B10" s="238"/>
      <x:c r="C10" s="239"/>
      <x:c r="D10" s="237"/>
      <x:c r="E10" s="238"/>
      <x:c r="F10" s="239"/>
      <x:c r="G10" s="237"/>
      <x:c r="H10" s="238"/>
      <x:c r="I10" s="239"/>
      <x:c r="J10" s="237"/>
      <x:c r="K10" s="238"/>
      <x:c r="L10" s="239"/>
      <x:c r="M10" s="237"/>
      <x:c r="N10" s="238"/>
      <x:c r="O10" s="239"/>
      <x:c r="P10" s="12"/>
      <x:c r="Q10" s="12" t="str">
        <x:f>'06_Consolidated_Forecast'!L4</x:f>
        <x:v>FY2033E</x:v>
      </x:c>
      <x:c r="R10" s="44" t="n">
        <x:f>'06_Consolidated_Forecast'!L10</x:f>
        <x:v>717304.117298815</x:v>
      </x:c>
      <x:c r="S10" s="44" t="n">
        <x:f>'06_Consolidated_Forecast'!L17</x:f>
        <x:v>335944.93029228086</x:v>
      </x:c>
      <x:c r="T10" s="12"/>
      <x:c r="U10" s="12"/>
      <x:c r="V10" s="12"/>
      <x:c r="W10" s="12"/>
    </x:row>
    <x:row r="11">
      <x:c r="A11" s="12"/>
      <x:c r="B11" s="12"/>
      <x:c r="C11" s="12"/>
      <x:c r="D11" s="12"/>
      <x:c r="E11" s="12"/>
      <x:c r="F11" s="12"/>
      <x:c r="G11" s="12"/>
      <x:c r="H11" s="12"/>
      <x:c r="I11" s="12"/>
      <x:c r="J11" s="12"/>
      <x:c r="K11" s="12"/>
      <x:c r="L11" s="12"/>
      <x:c r="M11" s="12"/>
      <x:c r="N11" s="12"/>
      <x:c r="O11" s="12"/>
      <x:c r="P11" s="12"/>
      <x:c r="Q11" s="12" t="str">
        <x:f>'06_Consolidated_Forecast'!M4</x:f>
        <x:v>FY2034E</x:v>
      </x:c>
      <x:c r="R11" s="44" t="n">
        <x:f>'06_Consolidated_Forecast'!M10</x:f>
        <x:v>760102.668483367</x:v>
      </x:c>
      <x:c r="S11" s="44" t="n">
        <x:f>'06_Consolidated_Forecast'!M17</x:f>
        <x:v>357222.8507837741</x:v>
      </x:c>
      <x:c r="T11" s="12"/>
      <x:c r="U11" s="12"/>
      <x:c r="V11" s="12"/>
      <x:c r="W11" s="12"/>
    </x:row>
    <x:row r="12" ht="20" customHeight="1">
      <x:c r="A12" s="27" t="str">
        <x:v>Investment Question</x:v>
      </x:c>
      <x:c r="B12" s="27"/>
      <x:c r="C12" s="27"/>
      <x:c r="D12" s="27"/>
      <x:c r="E12" s="27"/>
      <x:c r="F12" s="27"/>
      <x:c r="G12" s="27"/>
      <x:c r="H12" s="27"/>
      <x:c r="I12" s="27"/>
      <x:c r="J12" s="27"/>
      <x:c r="K12" s="27"/>
      <x:c r="L12" s="27"/>
      <x:c r="M12" s="27"/>
      <x:c r="N12" s="27"/>
      <x:c r="O12" s="27"/>
      <x:c r="P12" s="12"/>
      <x:c r="Q12" s="12" t="str">
        <x:f>'06_Consolidated_Forecast'!N4</x:f>
        <x:v>FY2035E</x:v>
      </x:c>
      <x:c r="R12" s="44" t="n">
        <x:f>'06_Consolidated_Forecast'!N10</x:f>
        <x:v>799558.3605161227</x:v>
      </x:c>
      <x:c r="S12" s="44" t="n">
        <x:f>'06_Consolidated_Forecast'!N17</x:f>
        <x:v>376709.9533540484</x:v>
      </x:c>
      <x:c r="T12" s="12"/>
      <x:c r="U12" s="12"/>
      <x:c r="V12" s="12"/>
      <x:c r="W12" s="12"/>
    </x:row>
    <x:row r="13">
      <x:c r="A13" s="260" t="str">
        <x:v>Can Microsoft's AI and cloud investments generate sufficient long-term free cash flow growth and returns to justify its current valuation?</x:v>
      </x:c>
      <x:c r="B13" s="260"/>
      <x:c r="C13" s="260"/>
      <x:c r="D13" s="260"/>
      <x:c r="E13" s="260"/>
      <x:c r="F13" s="260"/>
      <x:c r="G13" s="260"/>
      <x:c r="H13" s="260"/>
      <x:c r="I13" s="260"/>
      <x:c r="J13" s="260"/>
      <x:c r="K13" s="260"/>
      <x:c r="L13" s="260"/>
      <x:c r="M13" s="260"/>
      <x:c r="N13" s="260"/>
      <x:c r="O13" s="260"/>
      <x:c r="P13" s="12"/>
      <x:c r="Q13" s="12" t="str">
        <x:f>'06_Consolidated_Forecast'!O4</x:f>
        <x:v>FY2036E</x:v>
      </x:c>
      <x:c r="R13" s="44" t="n">
        <x:f>'06_Consolidated_Forecast'!O10</x:f>
        <x:v>837458.58720826</x:v>
      </x:c>
      <x:c r="S13" s="44" t="n">
        <x:f>'06_Consolidated_Forecast'!O17</x:f>
        <x:v>394673.6850163457</x:v>
      </x:c>
      <x:c r="T13" s="12"/>
      <x:c r="U13" s="12"/>
      <x:c r="V13" s="12"/>
      <x:c r="W13" s="12"/>
    </x:row>
    <x:row r="14">
      <x:c r="A14" s="260"/>
      <x:c r="B14" s="260"/>
      <x:c r="C14" s="260"/>
      <x:c r="D14" s="260"/>
      <x:c r="E14" s="260"/>
      <x:c r="F14" s="260"/>
      <x:c r="G14" s="260"/>
      <x:c r="H14" s="260"/>
      <x:c r="I14" s="260"/>
      <x:c r="J14" s="260"/>
      <x:c r="K14" s="260"/>
      <x:c r="L14" s="260"/>
      <x:c r="M14" s="260"/>
      <x:c r="N14" s="260"/>
      <x:c r="O14" s="260"/>
      <x:c r="P14" s="12"/>
      <x:c r="Q14" s="12"/>
      <x:c r="R14" s="12"/>
      <x:c r="S14" s="12"/>
      <x:c r="T14" s="12"/>
      <x:c r="U14" s="12"/>
      <x:c r="V14" s="12"/>
      <x:c r="W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2"/>
    </x:row>
    <x:row r="16" ht="20" customHeight="1">
      <x:c r="A16" s="27" t="str">
        <x:v>Valuation Conclusion</x:v>
      </x:c>
      <x:c r="B16" s="27"/>
      <x:c r="C16" s="27"/>
      <x:c r="D16" s="27"/>
      <x:c r="E16" s="27"/>
      <x:c r="F16" s="27"/>
      <x:c r="G16" s="27"/>
      <x:c r="H16" s="27"/>
      <x:c r="I16" s="27"/>
      <x:c r="J16" s="27"/>
      <x:c r="K16" s="27"/>
      <x:c r="L16" s="27"/>
      <x:c r="M16" s="27"/>
      <x:c r="N16" s="27"/>
      <x:c r="O16" s="27"/>
      <x:c r="P16" s="12"/>
      <x:c r="Q16" s="12"/>
      <x:c r="R16" s="12"/>
      <x:c r="S16" s="12"/>
      <x:c r="T16" s="12"/>
      <x:c r="U16" s="12"/>
      <x:c r="V16" s="12"/>
      <x:c r="W16" s="12"/>
    </x:row>
    <x:row r="17">
      <x:c r="A17" s="266" t="str">
        <x:f>"The base-case DCF indicates an intrinsic value of "&amp;TEXT('07_DCF'!B34,"$0.00")&amp;" per share versus the current market price of "&amp;TEXT('00_Assumptions'!B37,"$0.00")&amp;", implying "&amp;TEXT(ABS('07_DCF'!B36),"0.00%")&amp;" downside. The reverse DCF requires a "&amp;TEXT('08_Reverse_DCF'!B63,"0.00")&amp;" percentage-point FY2027E revenue-growth uplift above the base case."</x:f>
        <x:v>The base-case DCF indicates an intrinsic value of $367.85 per share versus the current market price of $499.86, implying 26.41% downside. The reverse DCF requires a 7.41 percentage-point FY2027E revenue-growth uplift above the base case.</x:v>
      </x:c>
      <x:c r="B17" s="266"/>
      <x:c r="C17" s="266"/>
      <x:c r="D17" s="266"/>
      <x:c r="E17" s="266"/>
      <x:c r="F17" s="266"/>
      <x:c r="G17" s="266"/>
      <x:c r="H17" s="266"/>
      <x:c r="I17" s="266"/>
      <x:c r="J17" s="266"/>
      <x:c r="K17" s="266"/>
      <x:c r="L17" s="266"/>
      <x:c r="M17" s="266"/>
      <x:c r="N17" s="266"/>
      <x:c r="O17" s="266"/>
      <x:c r="P17" s="12"/>
      <x:c r="Q17" s="12"/>
      <x:c r="R17" s="12"/>
      <x:c r="S17" s="12"/>
      <x:c r="T17" s="12"/>
      <x:c r="U17" s="12"/>
      <x:c r="V17" s="12"/>
      <x:c r="W17" s="12"/>
    </x:row>
    <x:row r="18">
      <x:c r="A18" s="266"/>
      <x:c r="B18" s="266"/>
      <x:c r="C18" s="266"/>
      <x:c r="D18" s="266"/>
      <x:c r="E18" s="266"/>
      <x:c r="F18" s="266"/>
      <x:c r="G18" s="266"/>
      <x:c r="H18" s="266"/>
      <x:c r="I18" s="266"/>
      <x:c r="J18" s="266"/>
      <x:c r="K18" s="266"/>
      <x:c r="L18" s="266"/>
      <x:c r="M18" s="266"/>
      <x:c r="N18" s="266"/>
      <x:c r="O18" s="266"/>
      <x:c r="P18" s="12"/>
      <x:c r="Q18" s="12"/>
      <x:c r="R18" s="12"/>
      <x:c r="S18" s="12"/>
      <x:c r="T18" s="12"/>
      <x:c r="U18" s="12"/>
      <x:c r="V18" s="12"/>
      <x:c r="W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row>
    <x:row r="52" ht="20" customHeight="1">
      <x:c r="A52" s="27" t="str">
        <x:v>Investment Thesis</x:v>
      </x:c>
      <x:c r="B52" s="27"/>
      <x:c r="C52" s="27"/>
      <x:c r="D52" s="27"/>
      <x:c r="E52" s="27"/>
      <x:c r="F52" s="27"/>
      <x:c r="G52" s="27"/>
      <x:c r="H52" s="27"/>
      <x:c r="I52" s="27" t="str">
        <x:v>Key Risks</x:v>
      </x:c>
      <x:c r="J52" s="27"/>
      <x:c r="K52" s="27"/>
      <x:c r="L52" s="27"/>
      <x:c r="M52" s="27"/>
      <x:c r="N52" s="27"/>
      <x:c r="O52" s="27"/>
      <x:c r="P52" s="12"/>
      <x:c r="Q52" s="12"/>
      <x:c r="R52" s="12"/>
      <x:c r="S52" s="12"/>
      <x:c r="T52" s="12"/>
      <x:c r="U52" s="12"/>
      <x:c r="V52" s="12"/>
      <x:c r="W52" s="12"/>
    </x:row>
    <x:row r="53" ht="105" customHeight="1">
      <x:c r="A53" s="299" t="str">
        <x:v>1. Intelligent Cloud remains Microsoft's primary growth engine, supported by Azure and AI-service demand.
2. Productivity &amp; Business Processes remains the company's margin engine, supported by recurring Microsoft 365 revenue and Copilot monetization.
3. ROIC remains attractive, but declining ROIC and rising capital intensity show that future value creation increasingly depends on successful AI infrastructure utilization.
4. The base DCF is below the market price, indicating that the current valuation already assumes stronger growth than the base case.</x:v>
      </x:c>
      <x:c r="B53" s="300"/>
      <x:c r="C53" s="300"/>
      <x:c r="D53" s="300"/>
      <x:c r="E53" s="300"/>
      <x:c r="F53" s="300"/>
      <x:c r="G53" s="301"/>
      <x:c r="H53" s="12"/>
      <x:c r="I53" s="299" t="str">
        <x:v>1. AI and datacenter investment may remain elevated longer than expected, delaying free-cash-flow recovery.
2. Intelligent Cloud margins may remain pressured if depreciation and inference costs grow faster than utilization.
3. Slower Copilot adoption or customer optimization could prevent Microsoft from achieving the required revenue-growth uplift.
4. Valuation remains highly sensitive to WACC and terminal-growth assumptions.</x:v>
      </x:c>
      <x:c r="J53" s="300"/>
      <x:c r="K53" s="300"/>
      <x:c r="L53" s="300"/>
      <x:c r="M53" s="300"/>
      <x:c r="N53" s="300"/>
      <x:c r="O53" s="301"/>
      <x:c r="P53" s="12"/>
      <x:c r="Q53" s="12"/>
      <x:c r="R53" s="12"/>
      <x:c r="S53" s="12"/>
      <x:c r="T53" s="12"/>
      <x:c r="U53" s="12"/>
      <x:c r="V53" s="12"/>
      <x:c r="W53" s="12"/>
    </x:row>
    <x:row r="54">
      <x:c r="A54" s="271"/>
      <x:c r="B54" s="271"/>
      <x:c r="C54" s="271"/>
      <x:c r="D54" s="271"/>
      <x:c r="E54" s="271"/>
      <x:c r="F54" s="271"/>
      <x:c r="G54" s="271"/>
      <x:c r="H54" s="12"/>
      <x:c r="I54" s="276"/>
      <x:c r="J54" s="276"/>
      <x:c r="K54" s="276"/>
      <x:c r="L54" s="276"/>
      <x:c r="M54" s="276"/>
      <x:c r="N54" s="276"/>
      <x:c r="O54" s="276"/>
      <x:c r="P54" s="12"/>
      <x:c r="Q54" s="12"/>
      <x:c r="R54" s="12"/>
      <x:c r="S54" s="12"/>
      <x:c r="T54" s="12"/>
      <x:c r="U54" s="12"/>
      <x:c r="V54" s="12"/>
      <x:c r="W54" s="12"/>
    </x:row>
    <x:row r="55">
      <x:c r="A55" s="271"/>
      <x:c r="B55" s="271"/>
      <x:c r="C55" s="271"/>
      <x:c r="D55" s="271"/>
      <x:c r="E55" s="271"/>
      <x:c r="F55" s="271"/>
      <x:c r="G55" s="271"/>
      <x:c r="H55" s="12"/>
      <x:c r="I55" s="276"/>
      <x:c r="J55" s="276"/>
      <x:c r="K55" s="276"/>
      <x:c r="L55" s="276"/>
      <x:c r="M55" s="276"/>
      <x:c r="N55" s="276"/>
      <x:c r="O55" s="276"/>
      <x:c r="P55" s="12"/>
      <x:c r="Q55" s="12"/>
      <x:c r="R55" s="12"/>
      <x:c r="S55" s="12"/>
      <x:c r="T55" s="12"/>
      <x:c r="U55" s="12"/>
      <x:c r="V55" s="12"/>
      <x:c r="W55" s="12"/>
    </x:row>
    <x:row r="56">
      <x:c r="A56" s="271"/>
      <x:c r="B56" s="271"/>
      <x:c r="C56" s="271"/>
      <x:c r="D56" s="271"/>
      <x:c r="E56" s="271"/>
      <x:c r="F56" s="271"/>
      <x:c r="G56" s="271"/>
      <x:c r="H56" s="12"/>
      <x:c r="I56" s="276"/>
      <x:c r="J56" s="276"/>
      <x:c r="K56" s="276"/>
      <x:c r="L56" s="276"/>
      <x:c r="M56" s="276"/>
      <x:c r="N56" s="276"/>
      <x:c r="O56" s="276"/>
      <x:c r="P56" s="12"/>
      <x:c r="Q56" s="12"/>
      <x:c r="R56" s="12"/>
      <x:c r="S56" s="12"/>
      <x:c r="T56" s="12"/>
      <x:c r="U56" s="12"/>
      <x:c r="V56" s="12"/>
      <x:c r="W56" s="12"/>
    </x:row>
    <x:row r="57">
      <x:c r="A57" s="271"/>
      <x:c r="B57" s="271"/>
      <x:c r="C57" s="271"/>
      <x:c r="D57" s="271"/>
      <x:c r="E57" s="271"/>
      <x:c r="F57" s="271"/>
      <x:c r="G57" s="271"/>
      <x:c r="H57" s="12"/>
      <x:c r="I57" s="276"/>
      <x:c r="J57" s="276"/>
      <x:c r="K57" s="276"/>
      <x:c r="L57" s="276"/>
      <x:c r="M57" s="276"/>
      <x:c r="N57" s="276"/>
      <x:c r="O57" s="276"/>
      <x:c r="P57" s="12"/>
      <x:c r="Q57" s="12"/>
      <x:c r="R57" s="12"/>
      <x:c r="S57" s="12"/>
      <x:c r="T57" s="12"/>
      <x:c r="U57" s="12"/>
      <x:c r="V57" s="12"/>
      <x:c r="W57" s="12"/>
    </x:row>
    <x:row r="58">
      <x:c r="A58" s="271"/>
      <x:c r="B58" s="271"/>
      <x:c r="C58" s="271"/>
      <x:c r="D58" s="271"/>
      <x:c r="E58" s="271"/>
      <x:c r="F58" s="271"/>
      <x:c r="G58" s="271"/>
      <x:c r="H58" s="12"/>
      <x:c r="I58" s="276"/>
      <x:c r="J58" s="276"/>
      <x:c r="K58" s="276"/>
      <x:c r="L58" s="276"/>
      <x:c r="M58" s="276"/>
      <x:c r="N58" s="276"/>
      <x:c r="O58" s="276"/>
      <x:c r="P58" s="12"/>
      <x:c r="Q58" s="12"/>
      <x:c r="R58" s="12"/>
      <x:c r="S58" s="12"/>
      <x:c r="T58" s="12"/>
      <x:c r="U58" s="12"/>
      <x:c r="V58" s="12"/>
      <x:c r="W58" s="12"/>
    </x:row>
    <x:row r="59">
      <x:c r="A59" s="271"/>
      <x:c r="B59" s="271"/>
      <x:c r="C59" s="271"/>
      <x:c r="D59" s="271"/>
      <x:c r="E59" s="271"/>
      <x:c r="F59" s="271"/>
      <x:c r="G59" s="271"/>
      <x:c r="H59" s="12"/>
      <x:c r="I59" s="276"/>
      <x:c r="J59" s="276"/>
      <x:c r="K59" s="276"/>
      <x:c r="L59" s="276"/>
      <x:c r="M59" s="276"/>
      <x:c r="N59" s="276"/>
      <x:c r="O59" s="276"/>
      <x:c r="P59" s="12"/>
      <x:c r="Q59" s="12"/>
      <x:c r="R59" s="12"/>
      <x:c r="S59" s="12"/>
      <x:c r="T59" s="12"/>
      <x:c r="U59" s="12"/>
      <x:c r="V59" s="12"/>
      <x:c r="W59" s="12"/>
    </x:row>
    <x:row r="60">
      <x:c r="A60" s="271"/>
      <x:c r="B60" s="271"/>
      <x:c r="C60" s="271"/>
      <x:c r="D60" s="271"/>
      <x:c r="E60" s="271"/>
      <x:c r="F60" s="271"/>
      <x:c r="G60" s="271"/>
      <x:c r="H60" s="12"/>
      <x:c r="I60" s="276"/>
      <x:c r="J60" s="276"/>
      <x:c r="K60" s="276"/>
      <x:c r="L60" s="276"/>
      <x:c r="M60" s="276"/>
      <x:c r="N60" s="276"/>
      <x:c r="O60" s="276"/>
      <x:c r="P60" s="12"/>
      <x:c r="Q60" s="12"/>
      <x:c r="R60" s="12"/>
      <x:c r="S60" s="12"/>
      <x:c r="T60" s="12"/>
      <x:c r="U60" s="12"/>
      <x:c r="V60" s="12"/>
      <x:c r="W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row>
    <x:row r="62" ht="20" customHeight="1">
      <x:c r="A62" s="27" t="str">
        <x:v>Base-Case Valuation View</x:v>
      </x:c>
      <x:c r="B62" s="27"/>
      <x:c r="C62" s="27"/>
      <x:c r="D62" s="27"/>
      <x:c r="E62" s="27"/>
      <x:c r="F62" s="27"/>
      <x:c r="G62" s="27"/>
      <x:c r="H62" s="27"/>
      <x:c r="I62" s="27"/>
      <x:c r="J62" s="27"/>
      <x:c r="K62" s="27"/>
      <x:c r="L62" s="27"/>
      <x:c r="M62" s="27"/>
      <x:c r="N62" s="27"/>
      <x:c r="O62" s="27"/>
      <x:c r="P62" s="12"/>
      <x:c r="Q62" s="12"/>
      <x:c r="R62" s="12"/>
      <x:c r="S62" s="12"/>
      <x:c r="T62" s="12"/>
      <x:c r="U62" s="12"/>
      <x:c r="V62" s="12"/>
      <x:c r="W62" s="12"/>
    </x:row>
    <x:row r="63" ht="48" customHeight="1">
      <x:c r="A63" s="311" t="str">
        <x:f>"Microsoft remains a high-quality business with strong margins and attractive returns on capital; however, the current market price embeds a more aggressive AI and cloud monetization trajectory than the base-case forecast. " &amp;"The model indicates "&amp;TEXT(ABS('07_DCF'!B36),"0.0%")&amp;" downside under the base case, while the reverse DCF requires a "&amp;TEXT('08_Reverse_DCF'!B63,"0.00")&amp;" percentage-point near-term growth uplift to justify the market valuation."</x:f>
        <x:v>Microsoft remains a high-quality business with strong margins and attractive returns on capital; however, the current market price embeds a more aggressive AI and cloud monetization trajectory than the base-case forecast. The model indicates 26.4% downside under the base case, while the reverse DCF requires a 7.41 percentage-point near-term growth uplift to justify the market valuation.</x:v>
      </x:c>
      <x:c r="B63" s="312"/>
      <x:c r="C63" s="312"/>
      <x:c r="D63" s="312"/>
      <x:c r="E63" s="312"/>
      <x:c r="F63" s="312"/>
      <x:c r="G63" s="312"/>
      <x:c r="H63" s="312"/>
      <x:c r="I63" s="312"/>
      <x:c r="J63" s="312"/>
      <x:c r="K63" s="312"/>
      <x:c r="L63" s="312"/>
      <x:c r="M63" s="312"/>
      <x:c r="N63" s="312"/>
      <x:c r="O63" s="313"/>
      <x:c r="P63" s="12"/>
      <x:c r="Q63" s="12"/>
      <x:c r="R63" s="12"/>
      <x:c r="S63" s="12"/>
      <x:c r="T63" s="12"/>
      <x:c r="U63" s="12"/>
      <x:c r="V63" s="12"/>
      <x:c r="W63" s="12"/>
    </x:row>
    <x:row r="64">
      <x:c r="A64" s="282"/>
      <x:c r="B64" s="282"/>
      <x:c r="C64" s="282"/>
      <x:c r="D64" s="282"/>
      <x:c r="E64" s="282"/>
      <x:c r="F64" s="282"/>
      <x:c r="G64" s="282"/>
      <x:c r="H64" s="282"/>
      <x:c r="I64" s="282"/>
      <x:c r="J64" s="282"/>
      <x:c r="K64" s="282"/>
      <x:c r="L64" s="282"/>
      <x:c r="M64" s="282"/>
      <x:c r="N64" s="282"/>
      <x:c r="O64" s="282"/>
      <x:c r="P64" s="12"/>
      <x:c r="Q64" s="12"/>
      <x:c r="R64" s="12"/>
      <x:c r="S64" s="12"/>
      <x:c r="T64" s="12"/>
      <x:c r="U64" s="12"/>
      <x:c r="V64" s="12"/>
      <x:c r="W64" s="12"/>
    </x:row>
    <x:row r="65" ht="24" customHeight="1">
      <x:c r="A65" s="446" t="str">
        <x:v>Buffett-Inspired Decision Framework</x:v>
      </x:c>
      <x:c r="B65" s="446"/>
      <x:c r="C65" s="446"/>
      <x:c r="D65" s="446"/>
      <x:c r="E65" s="446"/>
      <x:c r="F65" s="446"/>
      <x:c r="G65" s="446"/>
      <x:c r="H65" s="446"/>
      <x:c r="I65" s="446"/>
      <x:c r="J65" s="446"/>
      <x:c r="K65" s="446"/>
      <x:c r="L65" s="446"/>
      <x:c r="M65" s="446"/>
      <x:c r="N65" s="446"/>
      <x:c r="O65" s="446"/>
      <x:c r="P65" s="12"/>
      <x:c r="Q65" s="12"/>
      <x:c r="R65" s="12"/>
      <x:c r="S65" s="12"/>
      <x:c r="T65" s="12"/>
      <x:c r="U65" s="12"/>
      <x:c r="V65" s="12"/>
      <x:c r="W65" s="12"/>
    </x:row>
    <x:row r="66" ht="24" customHeight="1">
      <x:c r="A66" s="447" t="str">
        <x:v>Overall Score</x:v>
      </x:c>
      <x:c r="B66" s="447"/>
      <x:c r="C66" s="447"/>
      <x:c r="D66" s="447" t="str">
        <x:v>Business Quality Ex-Valuation</x:v>
      </x:c>
      <x:c r="E66" s="447"/>
      <x:c r="F66" s="447"/>
      <x:c r="G66" s="447" t="str">
        <x:v>15% Margin-of-Safety Price</x:v>
      </x:c>
      <x:c r="H66" s="447"/>
      <x:c r="I66" s="447"/>
      <x:c r="J66" s="447"/>
      <x:c r="K66" s="447" t="str">
        <x:v>Current Stance</x:v>
      </x:c>
      <x:c r="L66" s="447"/>
      <x:c r="M66" s="447"/>
      <x:c r="N66" s="447"/>
      <x:c r="O66" s="447"/>
    </x:row>
    <x:row r="67" ht="28" customHeight="1">
      <x:c r="A67" s="457" t="n">
        <x:f>'11_Buffett_5_Tenets'!A5</x:f>
        <x:v>74.5</x:v>
      </x:c>
      <x:c r="B67" s="450"/>
      <x:c r="C67" s="450"/>
      <x:c r="D67" s="457" t="n">
        <x:f>'11_Buffett_5_Tenets'!D5</x:f>
        <x:v>88.125</x:v>
      </x:c>
      <x:c r="E67" s="450"/>
      <x:c r="F67" s="450"/>
      <x:c r="G67" s="458" t="n">
        <x:f>'11_Buffett_5_Tenets'!K5</x:f>
        <x:v>312.67064193515796</x:v>
      </x:c>
      <x:c r="H67" s="453"/>
      <x:c r="I67" s="453"/>
      <x:c r="J67" s="453"/>
      <x:c r="K67" s="456" t="str">
        <x:f>'11_Buffett_5_Tenets'!G5</x:f>
        <x:v>WATCH / WAIT</x:v>
      </x:c>
      <x:c r="L67" s="456"/>
      <x:c r="M67" s="456"/>
      <x:c r="N67" s="456"/>
      <x:c r="O67" s="456"/>
    </x:row>
    <x:row r="68" ht="28" customHeight="1">
      <x:c r="A68" s="450"/>
      <x:c r="B68" s="450"/>
      <x:c r="C68" s="450"/>
      <x:c r="D68" s="450"/>
      <x:c r="E68" s="450"/>
      <x:c r="F68" s="450"/>
      <x:c r="G68" s="453"/>
      <x:c r="H68" s="453"/>
      <x:c r="I68" s="453"/>
      <x:c r="J68" s="453"/>
      <x:c r="K68" s="456"/>
      <x:c r="L68" s="456"/>
      <x:c r="M68" s="456"/>
      <x:c r="N68" s="456"/>
      <x:c r="O68" s="456"/>
    </x:row>
    <x:row r="70" ht="28" customHeight="1">
      <x:c r="A70" s="443" t="str">
        <x:f>"Exceptional business quality, but no margin of safety at the current price. The framework supports WATCH / WAIT and a review near "&amp;TEXT('11_Buffett_5_Tenets'!K5,"$0.00")&amp;", unless AI monetization and incremental returns materially exceed the base case."</x:f>
        <x:v>Exceptional business quality, but no margin of safety at the current price. The framework supports WATCH / WAIT and a review near $312.67, unless AI monetization and incremental returns materially exceed the base case.</x:v>
      </x:c>
      <x:c r="B70" s="443"/>
      <x:c r="C70" s="443"/>
      <x:c r="D70" s="443"/>
      <x:c r="E70" s="443"/>
      <x:c r="F70" s="443"/>
      <x:c r="G70" s="443"/>
      <x:c r="H70" s="443"/>
      <x:c r="I70" s="443"/>
      <x:c r="J70" s="443"/>
      <x:c r="K70" s="443"/>
      <x:c r="L70" s="443"/>
      <x:c r="M70" s="443"/>
      <x:c r="N70" s="443"/>
      <x:c r="O70" s="443"/>
    </x:row>
    <x:row r="71" ht="28" customHeight="1">
      <x:c r="A71" s="443"/>
      <x:c r="B71" s="443"/>
      <x:c r="C71" s="443"/>
      <x:c r="D71" s="443"/>
      <x:c r="E71" s="443"/>
      <x:c r="F71" s="443"/>
      <x:c r="G71" s="443"/>
      <x:c r="H71" s="443"/>
      <x:c r="I71" s="443"/>
      <x:c r="J71" s="443"/>
      <x:c r="K71" s="443"/>
      <x:c r="L71" s="443"/>
      <x:c r="M71" s="443"/>
      <x:c r="N71" s="443"/>
      <x:c r="O71" s="443"/>
    </x:row>
    <x:row r="72" ht="28" customHeight="1">
      <x:c r="A72" s="443"/>
      <x:c r="B72" s="443"/>
      <x:c r="C72" s="443"/>
      <x:c r="D72" s="443"/>
      <x:c r="E72" s="443"/>
      <x:c r="F72" s="443"/>
      <x:c r="G72" s="443"/>
      <x:c r="H72" s="443"/>
      <x:c r="I72" s="443"/>
      <x:c r="J72" s="443"/>
      <x:c r="K72" s="443"/>
      <x:c r="L72" s="443"/>
      <x:c r="M72" s="443"/>
      <x:c r="N72" s="443"/>
      <x:c r="O72" s="443"/>
    </x:row>
  </x:sheetData>
  <x:mergeCells>
    <x:mergeCell ref="A52:G52"/>
    <x:mergeCell ref="I52:O52"/>
    <x:mergeCell ref="A62:O62"/>
    <x:mergeCell ref="A13:O13"/>
    <x:mergeCell ref="A16:O16"/>
    <x:mergeCell ref="A17:O18"/>
    <x:mergeCell ref="A9:C10"/>
    <x:mergeCell ref="D9:F10"/>
    <x:mergeCell ref="G8:I8"/>
    <x:mergeCell ref="G9:I10"/>
    <x:mergeCell ref="J9:L10"/>
    <x:mergeCell ref="J8:L8"/>
    <x:mergeCell ref="A12:O12"/>
    <x:mergeCell ref="M8:O8"/>
    <x:mergeCell ref="M9:O10"/>
    <x:mergeCell ref="M4:O4"/>
    <x:mergeCell ref="M5:O6"/>
    <x:mergeCell ref="A1:O1"/>
    <x:mergeCell ref="A2:O2"/>
    <x:mergeCell ref="A4:C4"/>
    <x:mergeCell ref="A5:C6"/>
    <x:mergeCell ref="D4:F4"/>
    <x:mergeCell ref="D5:F6"/>
    <x:mergeCell ref="G4:I4"/>
    <x:mergeCell ref="G5:I6"/>
    <x:mergeCell ref="J4:L4"/>
    <x:mergeCell ref="J5:L6"/>
    <x:mergeCell ref="A8:C8"/>
    <x:mergeCell ref="D8:F8"/>
    <x:mergeCell ref="A52:O52"/>
    <x:mergeCell ref="A13:O14"/>
    <x:mergeCell ref="A53:G53"/>
    <x:mergeCell ref="I53:O53"/>
    <x:mergeCell ref="A63:O63"/>
    <x:mergeCell ref="A65:O65"/>
    <x:mergeCell ref="A66:C66"/>
    <x:mergeCell ref="A67:C68"/>
    <x:mergeCell ref="D66:F66"/>
    <x:mergeCell ref="D67:F68"/>
    <x:mergeCell ref="G66:J66"/>
    <x:mergeCell ref="G67:J68"/>
    <x:mergeCell ref="K66:O66"/>
    <x:mergeCell ref="K67:O68"/>
    <x:mergeCell ref="A70:O72"/>
  </x:mergeCells>
  <x:pageMargins left="0.7" right="0.7" top="0.75" bottom="0.75" header="0.3" footer="0.3"/>
  <x:drawing xmlns:r="http://schemas.openxmlformats.org/officeDocument/2006/relationships" r:id="R0d81b01ad6a4403b"/>
</x:worksheet>
</file>

<file path=xl/worksheets/sheet12.xml><?xml version="1.0" encoding="utf-8"?>
<x:worksheet xmlns:x="http://schemas.openxmlformats.org/spreadsheetml/2006/main">
  <x:sheetViews>
    <x:sheetView showGridLines="0" workbookViewId="0"/>
  </x:sheetViews>
  <x:sheetFormatPr defaultRowHeight="15"/>
  <x:cols>
    <x:col min="1" max="1" width="4" hidden="0" customWidth="1"/>
    <x:col min="2" max="2" width="25" hidden="0" customWidth="1"/>
    <x:col min="3" max="3" width="10" hidden="0" customWidth="1"/>
    <x:col min="4" max="4" width="10" hidden="0" customWidth="1"/>
    <x:col min="5" max="5" width="13" hidden="0" customWidth="1"/>
    <x:col min="6" max="6" width="36" hidden="0" customWidth="1"/>
    <x:col min="7" max="7" width="32" hidden="0" customWidth="1"/>
    <x:col min="8" max="8" width="16" hidden="0" customWidth="1"/>
    <x:col min="9" max="9" width="32" hidden="0" customWidth="1"/>
    <x:col min="10" max="10" width="13"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28" customHeight="1">
      <x:c r="A1" s="318" t="str">
        <x:v>Microsoft: Buffett-Inspired Five-Tenet Assessment</x:v>
      </x:c>
      <x:c r="B1" s="318"/>
      <x:c r="C1" s="318"/>
      <x:c r="D1" s="318"/>
      <x:c r="E1" s="318"/>
      <x:c r="F1" s="318"/>
      <x:c r="G1" s="318"/>
      <x:c r="H1" s="318"/>
      <x:c r="I1" s="318"/>
      <x:c r="J1" s="318"/>
      <x:c r="K1" s="318"/>
      <x:c r="L1" s="318"/>
      <x:c r="M1" s="318"/>
      <x:c r="N1" s="318"/>
      <x:c r="O1" s="318"/>
      <x:c r="P1" s="318"/>
      <x:c r="Q1" s="318"/>
      <x:c r="X1" s="490" t="str">
        <x:v>Business clarity</x:v>
      </x:c>
      <x:c r="Y1" s="490" t="n">
        <x:v>4.5</x:v>
      </x:c>
    </x:row>
    <x:row r="2" ht="20" customHeight="1">
      <x:c r="A2" s="322" t="str">
        <x:v>Prepared by Yagni Patel | Analyst-created decision framework; not an official Berkshire Hathaway checklist | Valuation date: August 6, 2026</x:v>
      </x:c>
      <x:c r="B2" s="322"/>
      <x:c r="C2" s="322"/>
      <x:c r="D2" s="322"/>
      <x:c r="E2" s="322"/>
      <x:c r="F2" s="322"/>
      <x:c r="G2" s="322"/>
      <x:c r="H2" s="322"/>
      <x:c r="I2" s="322"/>
      <x:c r="J2" s="322"/>
      <x:c r="K2" s="322"/>
      <x:c r="L2" s="322"/>
      <x:c r="M2" s="322"/>
      <x:c r="N2" s="322"/>
      <x:c r="O2" s="322"/>
      <x:c r="P2" s="322"/>
      <x:c r="Q2" s="322"/>
      <x:c r="X2" s="490" t="str">
        <x:v>Moat</x:v>
      </x:c>
      <x:c r="Y2" s="490" t="n">
        <x:v>5</x:v>
      </x:c>
    </x:row>
    <x:row r="3">
      <x:c r="X3" s="490" t="str">
        <x:v>Financial quality</x:v>
      </x:c>
      <x:c r="Y3" s="490" t="n">
        <x:v>4.5</x:v>
      </x:c>
    </x:row>
    <x:row r="4" ht="20" customHeight="1">
      <x:c r="A4" s="325" t="str">
        <x:v>Overall Score</x:v>
      </x:c>
      <x:c r="B4" s="325"/>
      <x:c r="C4" s="325"/>
      <x:c r="D4" s="325" t="str">
        <x:v>Business Quality Ex-Valuation</x:v>
      </x:c>
      <x:c r="E4" s="325"/>
      <x:c r="F4" s="325"/>
      <x:c r="G4" s="325" t="str">
        <x:v>Investment Stance</x:v>
      </x:c>
      <x:c r="H4" s="325"/>
      <x:c r="I4" s="325"/>
      <x:c r="J4" s="325"/>
      <x:c r="K4" s="325" t="str">
        <x:v>15% Margin-of-Safety Price</x:v>
      </x:c>
      <x:c r="L4" s="325"/>
      <x:c r="M4" s="325"/>
      <x:c r="N4" s="325"/>
      <x:c r="O4" s="325"/>
      <x:c r="P4" s="325"/>
      <x:c r="Q4" s="325"/>
      <x:c r="X4" s="490" t="str">
        <x:v>Capital allocation</x:v>
      </x:c>
      <x:c r="Y4" s="490" t="n">
        <x:v>3.5</x:v>
      </x:c>
    </x:row>
    <x:row r="5" ht="28" customHeight="1">
      <x:c r="A5" s="399" t="n">
        <x:f>SUM(E10:E14)</x:f>
        <x:v>74.5</x:v>
      </x:c>
      <x:c r="B5" s="341"/>
      <x:c r="C5" s="342"/>
      <x:c r="D5" s="399" t="n">
        <x:f>SUM(E10:E13)/SUM(C10:C13)</x:f>
        <x:v>88.125</x:v>
      </x:c>
      <x:c r="E5" s="341"/>
      <x:c r="F5" s="342"/>
      <x:c r="G5" s="360" t="str">
        <x:f>IF('00_Assumptions'!B37&lt;='07_DCF'!B34*0.85,"BUY / REVIEW","WATCH / WAIT")</x:f>
        <x:v>WATCH / WAIT</x:v>
      </x:c>
      <x:c r="H5" s="361"/>
      <x:c r="I5" s="361"/>
      <x:c r="J5" s="362"/>
      <x:c r="K5" s="400" t="n">
        <x:f>'07_DCF'!B34*(1-15%)</x:f>
        <x:v>312.67064193515796</x:v>
      </x:c>
      <x:c r="L5" s="381"/>
      <x:c r="M5" s="381"/>
      <x:c r="N5" s="381"/>
      <x:c r="O5" s="381"/>
      <x:c r="P5" s="381"/>
      <x:c r="Q5" s="382"/>
      <x:c r="X5" s="490" t="str">
        <x:v>Valuation / MOS</x:v>
      </x:c>
      <x:c r="Y5" s="490" t="n">
        <x:v>1</x:v>
      </x:c>
    </x:row>
    <x:row r="6" ht="28" customHeight="1">
      <x:c r="A6" s="343"/>
      <x:c r="B6" s="344"/>
      <x:c r="C6" s="345"/>
      <x:c r="D6" s="343"/>
      <x:c r="E6" s="344"/>
      <x:c r="F6" s="345"/>
      <x:c r="G6" s="363"/>
      <x:c r="H6" s="364"/>
      <x:c r="I6" s="364"/>
      <x:c r="J6" s="365"/>
      <x:c r="K6" s="383"/>
      <x:c r="L6" s="384"/>
      <x:c r="M6" s="384"/>
      <x:c r="N6" s="384"/>
      <x:c r="O6" s="384"/>
      <x:c r="P6" s="384"/>
      <x:c r="Q6" s="385"/>
    </x:row>
    <x:row r="8" ht="22" customHeight="1">
      <x:c r="A8" s="325" t="str">
        <x:v>Five-Tenet Assessment</x:v>
      </x:c>
      <x:c r="B8" s="325"/>
      <x:c r="C8" s="325"/>
      <x:c r="D8" s="325"/>
      <x:c r="E8" s="325"/>
      <x:c r="F8" s="325"/>
      <x:c r="G8" s="325"/>
      <x:c r="H8" s="325"/>
      <x:c r="I8" s="325"/>
      <x:c r="J8" s="325"/>
      <x:c r="K8" s="325"/>
      <x:c r="L8" s="325"/>
      <x:c r="M8" s="325"/>
      <x:c r="N8" s="325"/>
      <x:c r="O8" s="325"/>
      <x:c r="P8" s="325"/>
      <x:c r="Q8" s="325"/>
    </x:row>
    <x:row r="9" ht="32" customHeight="1">
      <x:c r="A9" s="390" t="str">
        <x:v>#</x:v>
      </x:c>
      <x:c r="B9" s="390" t="str">
        <x:v>Tenet</x:v>
      </x:c>
      <x:c r="C9" s="390" t="str">
        <x:v>Weight</x:v>
      </x:c>
      <x:c r="D9" s="390" t="str">
        <x:v>Score / 5</x:v>
      </x:c>
      <x:c r="E9" s="390" t="str">
        <x:v>Weighted Points</x:v>
      </x:c>
      <x:c r="F9" s="390" t="str">
        <x:v>Evidence from Model / Filing</x:v>
      </x:c>
      <x:c r="G9" s="390" t="str">
        <x:v>Principal Concern</x:v>
      </x:c>
      <x:c r="H9" s="390" t="str">
        <x:v>Verdict</x:v>
      </x:c>
      <x:c r="I9" s="390" t="str">
        <x:v>Monitoring Trigger</x:v>
      </x:c>
      <x:c r="J9" s="390" t="str">
        <x:v>Source IDs</x:v>
      </x:c>
    </x:row>
    <x:row r="10" ht="88" customHeight="1">
      <x:c r="A10" s="392" t="n">
        <x:v>1</x:v>
      </x:c>
      <x:c r="B10" s="393" t="str">
        <x:v>Business clarity &amp; predictability</x:v>
      </x:c>
      <x:c r="C10" s="401" t="n">
        <x:v>0.15</x:v>
      </x:c>
      <x:c r="D10" s="402" t="n">
        <x:v>4.5</x:v>
      </x:c>
      <x:c r="E10" s="403" t="n">
        <x:f>C10*D10/5*100</x:f>
        <x:v>13.499999999999998</x:v>
      </x:c>
      <x:c r="F10" s="396" t="str">
        <x:v>FY2026 revenue was $331.8 billion, up 17.8%; commercial remaining performance obligation (RPO) was $678 billion; and Microsoft retained diversified enterprise and cloud franchises.</x:v>
      </x:c>
      <x:c r="G10" s="393" t="str">
        <x:v>AI economics are less mature than Microsoft's traditional subscription economics.</x:v>
      </x:c>
      <x:c r="H10" s="412" t="str">
        <x:v>STRONG</x:v>
      </x:c>
      <x:c r="I10" s="393" t="str">
        <x:v>Commercial RPO growth, renewal behavior, and FY2027E revenue conversion.</x:v>
      </x:c>
      <x:c r="J10" s="393" t="str">
        <x:v>S01; S12</x:v>
      </x:c>
    </x:row>
    <x:row r="11" ht="88" customHeight="1">
      <x:c r="A11" s="392" t="n">
        <x:v>2</x:v>
      </x:c>
      <x:c r="B11" s="393" t="str">
        <x:v>Durable competitive advantage</x:v>
      </x:c>
      <x:c r="C11" s="401" t="n">
        <x:v>0.25</x:v>
      </x:c>
      <x:c r="D11" s="402" t="n">
        <x:v>5</x:v>
      </x:c>
      <x:c r="E11" s="403" t="n">
        <x:f>C11*D11/5*100</x:f>
        <x:v>25</x:v>
      </x:c>
      <x:c r="F11" s="396" t="str">
        <x:v>Azure annual revenue exceeded $100 billion; Microsoft 365 Copilot exceeded 30 million paid seats; and PBP operating margin was 59.9%.</x:v>
      </x:c>
      <x:c r="G11" s="393" t="str">
        <x:v>Platform competition, regulation, security failures, or model commoditization could weaken differentiation.</x:v>
      </x:c>
      <x:c r="H11" s="412" t="str">
        <x:v>EXCEPTIONAL</x:v>
      </x:c>
      <x:c r="I11" s="393" t="str">
        <x:v>Azure growth, Copilot paid-seat expansion, commercial RPO, and retention.</x:v>
      </x:c>
      <x:c r="J11" s="393" t="str">
        <x:v>S01; S12</x:v>
      </x:c>
    </x:row>
    <x:row r="12" ht="88" customHeight="1">
      <x:c r="A12" s="392" t="n">
        <x:v>3</x:v>
      </x:c>
      <x:c r="B12" s="393" t="str">
        <x:v>Financial quality &amp; earnings power</x:v>
      </x:c>
      <x:c r="C12" s="401" t="n">
        <x:v>0.2</x:v>
      </x:c>
      <x:c r="D12" s="402" t="n">
        <x:v>4.5</x:v>
      </x:c>
      <x:c r="E12" s="403" t="n">
        <x:f>C12*D12/5*100</x:f>
        <x:v>18</x:v>
      </x:c>
      <x:c r="F12" s="396" t="str">
        <x:v>FY2026 operating margin was 46.8%, CFO/net income was 136.8%, and ROIC was 33.5%.</x:v>
      </x:c>
      <x:c r="G12" s="393" t="str">
        <x:v>Mark-to-market effects from OpenAI and other investments create GAAP noise; cash conversion is increasingly consumed by infrastructure.</x:v>
      </x:c>
      <x:c r="H12" s="412" t="str">
        <x:v>STRONG</x:v>
      </x:c>
      <x:c r="I12" s="393" t="str">
        <x:v>Operating margin, CFO/Net Income, Cash FCF margin, and ROIC.</x:v>
      </x:c>
      <x:c r="J12" s="393" t="str">
        <x:v>S01; S02; S03</x:v>
      </x:c>
    </x:row>
    <x:row r="13" ht="88" customHeight="1">
      <x:c r="A13" s="392" t="n">
        <x:v>4</x:v>
      </x:c>
      <x:c r="B13" s="393" t="str">
        <x:v>Capital allocation &amp; incremental returns</x:v>
      </x:c>
      <x:c r="C13" s="401" t="n">
        <x:v>0.2</x:v>
      </x:c>
      <x:c r="D13" s="402" t="n">
        <x:v>3.5</x:v>
      </x:c>
      <x:c r="E13" s="403" t="n">
        <x:f>C13*D13/5*100</x:f>
        <x:v>14.000000000000002</x:v>
      </x:c>
      <x:c r="F13" s="396" t="str">
        <x:v>FY2026 incremental ROIC was 19.3% versus a 9.5% WACC; Total CapEx / Revenue was 42.4%.</x:v>
      </x:c>
      <x:c r="G13" s="393" t="str">
        <x:v>Total CapEx intensity is exceptionally high and future AI returns remain unproven at full scale.</x:v>
      </x:c>
      <x:c r="H13" s="413" t="str">
        <x:v>GOOD / MONITOR</x:v>
      </x:c>
      <x:c r="I13" s="393" t="str">
        <x:v>Incremental ROIC must remain comfortably above WACC as CapEx normalizes.</x:v>
      </x:c>
      <x:c r="J13" s="393" t="str">
        <x:v>S01; S11</x:v>
      </x:c>
    </x:row>
    <x:row r="14" ht="88" customHeight="1">
      <x:c r="A14" s="392" t="n">
        <x:v>5</x:v>
      </x:c>
      <x:c r="B14" s="393" t="str">
        <x:v>Valuation and margin of safety</x:v>
      </x:c>
      <x:c r="C14" s="401" t="n">
        <x:v>0.2</x:v>
      </x:c>
      <x:c r="D14" s="402" t="n">
        <x:v>1</x:v>
      </x:c>
      <x:c r="E14" s="403" t="n">
        <x:f>C14*D14/5*100</x:f>
        <x:v>4</x:v>
      </x:c>
      <x:c r="F14" s="396" t="str">
        <x:v>Base DCF value was $367.85 versus a $499.86 market price, implying 26.4% downside; the reverse DCF growth uplift was 7.41 pp.</x:v>
      </x:c>
      <x:c r="G14" s="393" t="str">
        <x:v>Current price exceeds base intrinsic value and embeds a substantially stronger growth path.</x:v>
      </x:c>
      <x:c r="H14" s="414" t="str">
        <x:v>WEAK</x:v>
      </x:c>
      <x:c r="I14" s="393" t="str">
        <x:v>Price, FY2027E growth delivery, and evidence that AI monetization outruns reinvestment.</x:v>
      </x:c>
      <x:c r="J14" s="393" t="str">
        <x:v>S08; S09; S10</x:v>
      </x:c>
    </x:row>
    <x:row r="16" ht="22" customHeight="1">
      <x:c r="A16" s="325" t="str">
        <x:v>Decision Framework</x:v>
      </x:c>
      <x:c r="B16" s="325"/>
      <x:c r="C16" s="325"/>
      <x:c r="D16" s="325"/>
      <x:c r="E16" s="325"/>
      <x:c r="F16" s="325"/>
      <x:c r="G16" s="325"/>
      <x:c r="H16" s="325"/>
      <x:c r="I16" s="325"/>
      <x:c r="J16" s="325"/>
      <x:c r="K16" s="325"/>
      <x:c r="L16" s="325"/>
      <x:c r="M16" s="325"/>
      <x:c r="N16" s="325"/>
      <x:c r="O16" s="325"/>
      <x:c r="P16" s="325"/>
      <x:c r="Q16" s="325"/>
    </x:row>
    <x:row r="18" ht="32" customHeight="1">
      <x:c r="A18" s="459" t="str">
        <x:v>Current Market Price</x:v>
      </x:c>
      <x:c r="B18" s="460"/>
      <x:c r="C18" s="463" t="n">
        <x:f>'00_Assumptions'!B37</x:f>
        <x:v>499.86</x:v>
      </x:c>
      <x:c r="D18" s="463"/>
      <x:c r="E18" s="463"/>
      <x:c r="G18" s="473" t="str">
        <x:v>Base FY2027E Growth</x:v>
      </x:c>
      <x:c r="H18" s="471"/>
      <x:c r="I18" s="476" t="n">
        <x:f>'08_Reverse_DCF'!B64</x:f>
        <x:v>0.1621649655405184</x:v>
      </x:c>
      <x:c r="J18" s="476"/>
      <x:c r="K18" s="438"/>
      <x:c r="L18" s="390" t="str">
        <x:v>Current Decision</x:v>
      </x:c>
      <x:c r="M18" s="390"/>
      <x:c r="N18" s="390"/>
      <x:c r="O18" s="390"/>
      <x:c r="P18" s="390"/>
      <x:c r="Q18" s="390"/>
    </x:row>
    <x:row r="19" ht="32" customHeight="1">
      <x:c r="A19" s="459" t="str">
        <x:v>Base Intrinsic Value</x:v>
      </x:c>
      <x:c r="B19" s="460"/>
      <x:c r="C19" s="463" t="n">
        <x:f>'07_DCF'!B34</x:f>
        <x:v>367.8478140413623</x:v>
      </x:c>
      <x:c r="D19" s="463"/>
      <x:c r="E19" s="463"/>
      <x:c r="G19" s="473" t="str">
        <x:v>Market-Implied FY2027E Growth</x:v>
      </x:c>
      <x:c r="H19" s="471"/>
      <x:c r="I19" s="476" t="n">
        <x:f>'08_Reverse_DCF'!B65</x:f>
        <x:v>0.2362368652669044</x:v>
      </x:c>
      <x:c r="J19" s="476"/>
      <x:c r="K19" s="438"/>
      <x:c r="L19" s="480" t="str">
        <x:f>"WATCH / WAIT - excellent business, but no margin of safety at "&amp;TEXT('00_Assumptions'!B37,"$0.00")&amp;"."</x:f>
        <x:v>WATCH / WAIT - excellent business, but no margin of safety at $499.86.</x:v>
      </x:c>
      <x:c r="M19" s="480"/>
      <x:c r="N19" s="480"/>
      <x:c r="O19" s="480"/>
      <x:c r="P19" s="480"/>
      <x:c r="Q19" s="480"/>
    </x:row>
    <x:row r="20" ht="32" customHeight="1">
      <x:c r="A20" s="459" t="str">
        <x:v>15% Margin-of-Safety Price</x:v>
      </x:c>
      <x:c r="B20" s="460"/>
      <x:c r="C20" s="463" t="n">
        <x:f>'07_DCF'!B34*(1-15%)</x:f>
        <x:v>312.67064193515796</x:v>
      </x:c>
      <x:c r="D20" s="463"/>
      <x:c r="E20" s="463"/>
      <x:c r="G20" s="473" t="str">
        <x:v>FY2026 Incremental ROIC</x:v>
      </x:c>
      <x:c r="H20" s="471"/>
      <x:c r="I20" s="476" t="n">
        <x:f>'03_Business_Quality'!G29</x:f>
        <x:v>0.1933862536643945</x:v>
      </x:c>
      <x:c r="J20" s="476"/>
      <x:c r="K20" s="438"/>
      <x:c r="L20" s="480"/>
      <x:c r="M20" s="480"/>
      <x:c r="N20" s="480"/>
      <x:c r="O20" s="480"/>
      <x:c r="P20" s="480"/>
      <x:c r="Q20" s="480"/>
    </x:row>
    <x:row r="21" ht="32" customHeight="1">
      <x:c r="A21" s="464" t="str">
        <x:v>20% Margin-of-Safety Price</x:v>
      </x:c>
      <x:c r="B21" s="465"/>
      <x:c r="C21" s="468" t="n">
        <x:f>'07_DCF'!B34*(1-20%)</x:f>
        <x:v>294.27825123308986</x:v>
      </x:c>
      <x:c r="D21" s="468"/>
      <x:c r="E21" s="468"/>
      <x:c r="G21" s="473" t="str">
        <x:v>WACC</x:v>
      </x:c>
      <x:c r="H21" s="471"/>
      <x:c r="I21" s="476" t="n">
        <x:f>'00_Assumptions'!B46</x:f>
        <x:v>0.0947153823814037</x:v>
      </x:c>
      <x:c r="J21" s="476"/>
      <x:c r="K21" s="438"/>
      <x:c r="L21" s="390" t="str">
        <x:v>What Must Improve</x:v>
      </x:c>
      <x:c r="M21" s="390"/>
      <x:c r="N21" s="390"/>
      <x:c r="O21" s="390"/>
      <x:c r="P21" s="390"/>
      <x:c r="Q21" s="390"/>
    </x:row>
    <x:row r="22" ht="32" customHeight="1">
      <x:c r="L22" s="482" t="str">
        <x:v>Sustain near-term consolidated growth above 20%, stabilize Intelligent Cloud margins, reduce Total CapEx intensity, and keep incremental ROIC comfortably above WACC.</x:v>
      </x:c>
      <x:c r="M22" s="482"/>
      <x:c r="N22" s="482"/>
      <x:c r="O22" s="482"/>
      <x:c r="P22" s="482"/>
      <x:c r="Q22" s="482"/>
    </x:row>
    <x:row r="23" ht="22" customHeight="1">
      <x:c r="A23" s="325"/>
      <x:c r="B23" s="325"/>
      <x:c r="C23" s="325"/>
      <x:c r="D23" s="325"/>
      <x:c r="E23" s="325"/>
      <x:c r="F23" s="325"/>
      <x:c r="G23" s="325"/>
      <x:c r="H23" s="325"/>
      <x:c r="I23" s="325"/>
      <x:c r="J23" s="325"/>
      <x:c r="K23" s="325"/>
      <x:c r="L23" s="325"/>
      <x:c r="M23" s="325"/>
      <x:c r="N23" s="325"/>
      <x:c r="O23" s="325"/>
      <x:c r="P23" s="325"/>
      <x:c r="Q23" s="325"/>
    </x:row>
    <x:row r="24" ht="22" customHeight="1">
      <x:c r="A24" s="486" t="str">
        <x:v>Monitoring Checklist</x:v>
      </x:c>
      <x:c r="B24" s="486"/>
      <x:c r="C24" s="486"/>
      <x:c r="D24" s="486"/>
      <x:c r="E24" s="486"/>
      <x:c r="F24" s="486"/>
      <x:c r="G24" s="486"/>
      <x:c r="H24" s="486"/>
      <x:c r="I24" s="486"/>
      <x:c r="J24" s="486"/>
      <x:c r="K24" s="486"/>
      <x:c r="L24" s="486"/>
      <x:c r="M24" s="486"/>
      <x:c r="N24" s="486"/>
      <x:c r="O24" s="486"/>
      <x:c r="P24" s="486"/>
      <x:c r="Q24" s="486"/>
    </x:row>
    <x:row r="25" ht="28" customHeight="1">
      <x:c r="A25" s="440" t="str">
        <x:v>1. FY2027E consolidated revenue growth versus the 23.62% market-implied threshold.
2. Intelligent Cloud operating margin and Azure capacity utilization.
3. Total CapEx / Revenue normalization from the FY2026 level of 42.36%.
4. Incremental ROIC versus WACC.
5. Share price versus the base value and margin-of-safety reference prices.</x:v>
      </x:c>
      <x:c r="B25" s="440"/>
      <x:c r="C25" s="440"/>
      <x:c r="D25" s="440"/>
      <x:c r="E25" s="440"/>
      <x:c r="F25" s="440"/>
      <x:c r="G25" s="440"/>
      <x:c r="H25" s="440"/>
      <x:c r="I25" s="440"/>
      <x:c r="J25" s="440"/>
      <x:c r="K25" s="440"/>
      <x:c r="L25" s="440"/>
      <x:c r="M25" s="440"/>
      <x:c r="N25" s="440"/>
      <x:c r="O25" s="440"/>
      <x:c r="P25" s="489"/>
      <x:c r="Q25" s="489"/>
    </x:row>
    <x:row r="26" ht="28" customHeight="1">
      <x:c r="A26" s="440"/>
      <x:c r="B26" s="440"/>
      <x:c r="C26" s="440"/>
      <x:c r="D26" s="440"/>
      <x:c r="E26" s="440"/>
      <x:c r="F26" s="440"/>
      <x:c r="G26" s="440"/>
      <x:c r="H26" s="440"/>
      <x:c r="I26" s="440"/>
      <x:c r="J26" s="440"/>
      <x:c r="K26" s="440"/>
      <x:c r="L26" s="440"/>
      <x:c r="M26" s="440"/>
      <x:c r="N26" s="440"/>
      <x:c r="O26" s="440"/>
      <x:c r="P26" s="489"/>
      <x:c r="Q26" s="489"/>
    </x:row>
    <x:row r="27" ht="28" customHeight="1">
      <x:c r="A27" s="440"/>
      <x:c r="B27" s="440"/>
      <x:c r="C27" s="440"/>
      <x:c r="D27" s="440"/>
      <x:c r="E27" s="440"/>
      <x:c r="F27" s="440"/>
      <x:c r="G27" s="440"/>
      <x:c r="H27" s="440"/>
      <x:c r="I27" s="440"/>
      <x:c r="J27" s="440"/>
      <x:c r="K27" s="440"/>
      <x:c r="L27" s="440"/>
      <x:c r="M27" s="440"/>
      <x:c r="N27" s="440"/>
      <x:c r="O27" s="440"/>
      <x:c r="P27" s="489"/>
      <x:c r="Q27" s="489"/>
    </x:row>
    <x:row r="28" ht="22" customHeight="1">
      <x:c r="A28" s="325"/>
      <x:c r="B28" s="325"/>
      <x:c r="C28" s="325"/>
      <x:c r="D28" s="325"/>
      <x:c r="E28" s="325"/>
      <x:c r="F28" s="325"/>
      <x:c r="G28" s="325"/>
      <x:c r="H28" s="325"/>
      <x:c r="I28" s="325"/>
      <x:c r="J28" s="325"/>
      <x:c r="K28" s="325"/>
      <x:c r="L28" s="325"/>
      <x:c r="M28" s="325"/>
      <x:c r="N28" s="325"/>
      <x:c r="O28" s="325"/>
      <x:c r="P28" s="325"/>
      <x:c r="Q28" s="325"/>
    </x:row>
    <x:row r="29" ht="22" customHeight="1">
      <x:c r="A29" s="486" t="str">
        <x:v>Final Buffett-Inspired Verdict</x:v>
      </x:c>
      <x:c r="B29" s="486"/>
      <x:c r="C29" s="486"/>
      <x:c r="D29" s="486"/>
      <x:c r="E29" s="486"/>
      <x:c r="F29" s="486"/>
      <x:c r="G29" s="486"/>
      <x:c r="H29" s="486"/>
      <x:c r="I29" s="486"/>
      <x:c r="J29" s="486"/>
      <x:c r="K29" s="486"/>
      <x:c r="L29" s="486"/>
      <x:c r="M29" s="486"/>
      <x:c r="N29" s="486"/>
      <x:c r="O29" s="486"/>
      <x:c r="P29" s="486"/>
      <x:c r="Q29" s="486"/>
    </x:row>
    <x:row r="30" ht="28" customHeight="1">
      <x:c r="A30" s="443" t="str">
        <x:f>"Exceptional franchise and strong owner economics, but the current price offers no margin of safety. The model supports a WATCH / WAIT stance. Reassess near "&amp;TEXT(C20,"$0.00")&amp;" (15% margin of safety), or earlier if reported AI monetization and incremental returns materially exceed the base-case assumptions."</x:f>
        <x:v>Exceptional franchise and strong owner economics, but the current price offers no margin of safety. The model supports a WATCH / WAIT stance. Reassess near $312.67 (15% margin of safety), or earlier if reported AI monetization and incremental returns materially exceed the base-case assumptions.</x:v>
      </x:c>
      <x:c r="B30" s="443"/>
      <x:c r="C30" s="443"/>
      <x:c r="D30" s="443"/>
      <x:c r="E30" s="443"/>
      <x:c r="F30" s="443"/>
      <x:c r="G30" s="443"/>
      <x:c r="H30" s="443"/>
      <x:c r="I30" s="443"/>
      <x:c r="J30" s="443"/>
      <x:c r="K30" s="443"/>
      <x:c r="L30" s="443"/>
      <x:c r="M30" s="443"/>
      <x:c r="N30" s="443"/>
      <x:c r="O30" s="443"/>
      <x:c r="P30" s="443"/>
      <x:c r="Q30" s="443"/>
    </x:row>
    <x:row r="31" ht="28" customHeight="1">
      <x:c r="A31" s="443"/>
      <x:c r="B31" s="443"/>
      <x:c r="C31" s="443"/>
      <x:c r="D31" s="443"/>
      <x:c r="E31" s="443"/>
      <x:c r="F31" s="443"/>
      <x:c r="G31" s="443"/>
      <x:c r="H31" s="443"/>
      <x:c r="I31" s="443"/>
      <x:c r="J31" s="443"/>
      <x:c r="K31" s="443"/>
      <x:c r="L31" s="443"/>
      <x:c r="M31" s="443"/>
      <x:c r="N31" s="443"/>
      <x:c r="O31" s="443"/>
      <x:c r="P31" s="443"/>
      <x:c r="Q31" s="443"/>
    </x:row>
    <x:row r="32" ht="28" customHeight="1">
      <x:c r="A32" s="443"/>
      <x:c r="B32" s="443"/>
      <x:c r="C32" s="443"/>
      <x:c r="D32" s="443"/>
      <x:c r="E32" s="443"/>
      <x:c r="F32" s="443"/>
      <x:c r="G32" s="443"/>
      <x:c r="H32" s="443"/>
      <x:c r="I32" s="443"/>
      <x:c r="J32" s="443"/>
      <x:c r="K32" s="443"/>
      <x:c r="L32" s="443"/>
      <x:c r="M32" s="443"/>
      <x:c r="N32" s="443"/>
      <x:c r="O32" s="443"/>
      <x:c r="P32" s="443"/>
      <x:c r="Q32" s="443"/>
    </x:row>
  </x:sheetData>
  <x:mergeCells>
    <x:mergeCell ref="A1:Q1"/>
    <x:mergeCell ref="A2:Q2"/>
    <x:mergeCell ref="A4:C4"/>
    <x:mergeCell ref="A5:C6"/>
    <x:mergeCell ref="D4:F4"/>
    <x:mergeCell ref="D5:F6"/>
    <x:mergeCell ref="G4:J4"/>
    <x:mergeCell ref="G5:J6"/>
    <x:mergeCell ref="K4:Q4"/>
    <x:mergeCell ref="K5:Q6"/>
    <x:mergeCell ref="A8:Q8"/>
    <x:mergeCell ref="A16:Q16"/>
    <x:mergeCell ref="A18:B18"/>
    <x:mergeCell ref="C18:E18"/>
    <x:mergeCell ref="A19:B19"/>
    <x:mergeCell ref="C19:E19"/>
    <x:mergeCell ref="A20:B20"/>
    <x:mergeCell ref="C20:E20"/>
    <x:mergeCell ref="A21:B21"/>
    <x:mergeCell ref="C21:E21"/>
    <x:mergeCell ref="G18:H18"/>
    <x:mergeCell ref="I18:J18"/>
    <x:mergeCell ref="G19:H19"/>
    <x:mergeCell ref="I19:J19"/>
    <x:mergeCell ref="G20:H20"/>
    <x:mergeCell ref="I20:J20"/>
    <x:mergeCell ref="G21:H21"/>
    <x:mergeCell ref="I21:J21"/>
    <x:mergeCell ref="L18:Q18"/>
    <x:mergeCell ref="L19:Q20"/>
    <x:mergeCell ref="L21:Q21"/>
    <x:mergeCell ref="L22:Q22"/>
    <x:mergeCell ref="A24:Q24"/>
    <x:mergeCell ref="A25:Q27"/>
    <x:mergeCell ref="A29:Q29"/>
    <x:mergeCell ref="A30:Q32"/>
  </x:mergeCells>
  <x:pageMargins left="0.7" right="0.7" top="0.75" bottom="0.75" header="0.3" footer="0.3"/>
  <x:drawing xmlns:r="http://schemas.openxmlformats.org/officeDocument/2006/relationships" r:id="Re0d39bb3694f46a9"/>
</x:worksheet>
</file>